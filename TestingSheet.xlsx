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h/Documents/GitHub/ENGGG3000-Whack-A-Mole/"/>
    </mc:Choice>
  </mc:AlternateContent>
  <xr:revisionPtr revIDLastSave="0" documentId="13_ncr:1_{38101BCA-22C6-E242-AE99-5723EF1A2B62}" xr6:coauthVersionLast="47" xr6:coauthVersionMax="47" xr10:uidLastSave="{00000000-0000-0000-0000-000000000000}"/>
  <bookViews>
    <workbookView xWindow="280" yWindow="680" windowWidth="28040" windowHeight="17320" activeTab="5" xr2:uid="{E87CD7FD-52EF-5649-A5D2-712A8832A3CD}"/>
  </bookViews>
  <sheets>
    <sheet name="T0T1`" sheetId="3" r:id="rId1"/>
    <sheet name="T3 Left box" sheetId="1" r:id="rId2"/>
    <sheet name="T3 Right box" sheetId="2" r:id="rId3"/>
    <sheet name="T7 Test" sheetId="4" r:id="rId4"/>
    <sheet name="T4" sheetId="5" r:id="rId5"/>
    <sheet name="Cell Detection" sheetId="6" r:id="rId6"/>
  </sheets>
  <definedNames>
    <definedName name="_xlnm._FilterDatabase" localSheetId="4" hidden="1">'T4'!$D$2:$D$1018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2" l="1"/>
  <c r="F5" i="5"/>
  <c r="F4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3" i="5"/>
  <c r="D103" i="5"/>
  <c r="E10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3" i="5"/>
  <c r="J12" i="3"/>
  <c r="F12" i="3"/>
  <c r="B12" i="3"/>
</calcChain>
</file>

<file path=xl/sharedStrings.xml><?xml version="1.0" encoding="utf-8"?>
<sst xmlns="http://schemas.openxmlformats.org/spreadsheetml/2006/main" count="338" uniqueCount="84">
  <si>
    <t>Delivery OK - 1347 us (1.35 ms)</t>
  </si>
  <si>
    <t>Delivery OK - 1356 us (1.36 ms)</t>
  </si>
  <si>
    <t>Delivery OK - 1472 us (1.47 ms)</t>
  </si>
  <si>
    <t>Delivery OK - 1409 us (1.41 ms)</t>
  </si>
  <si>
    <t>Delivery OK - 2899 us (2.90 ms)</t>
  </si>
  <si>
    <t>Delivery OK - 1360 us (1.36 ms)</t>
  </si>
  <si>
    <t>Delivery OK - 1351 us (1.35 ms)</t>
  </si>
  <si>
    <t>Delivery OK - 1330 us (1.33 ms)</t>
  </si>
  <si>
    <t>Delivery OK - 1388 us (1.39 ms)</t>
  </si>
  <si>
    <t>Delivery OK - 1462 us (1.46 ms)</t>
  </si>
  <si>
    <t>Delivery OK - 1334 us (1.33 ms)</t>
  </si>
  <si>
    <t>Delivery OK - 1343 us (1.34 ms)</t>
  </si>
  <si>
    <t>Delivery OK - 1392 us (1.39 ms)</t>
  </si>
  <si>
    <t>Delivery OK - 1371 us (1.37 ms)</t>
  </si>
  <si>
    <t>Delivery OK - 1322 us (1.32 ms)</t>
  </si>
  <si>
    <t>Delivery OK - 1380 us (1.38 ms)</t>
  </si>
  <si>
    <t>Delivery OK - 1318 us (1.32 ms)</t>
  </si>
  <si>
    <t>Delivery OK - 1381 us (1.38 ms)</t>
  </si>
  <si>
    <t>Delivery OK - 1369 us (1.37 ms)</t>
  </si>
  <si>
    <t>Delivery OK - 1338 us (1.34 ms)</t>
  </si>
  <si>
    <t>Delivery OK - 1394 us (1.39 ms)</t>
  </si>
  <si>
    <t>Delivery OK - 1329 us (1.33 ms)</t>
  </si>
  <si>
    <t>Delivery OK - 1374 us (1.37 ms)</t>
  </si>
  <si>
    <t>Delivery OK - 1402 us (1.40 ms)</t>
  </si>
  <si>
    <t>Delivery OK - 1370 us (1.37 ms)</t>
  </si>
  <si>
    <t>Delivery OK - 1405 us (1.40 ms)</t>
  </si>
  <si>
    <t>Delivery OK - 1361 us (1.36 ms)</t>
  </si>
  <si>
    <t>Delivery OK - 1465 us (1.47 ms)</t>
  </si>
  <si>
    <t>Delivery OK - 2258 us (2.26 ms)</t>
  </si>
  <si>
    <t>Delivery OK - 1384 us (1.38 ms)</t>
  </si>
  <si>
    <t>Delivery OK - 1428 us (1.43 ms)</t>
  </si>
  <si>
    <t>Delivery OK - 1386 us (1.39 ms)</t>
  </si>
  <si>
    <t>Delivery OK - 1342 us (1.34 ms)</t>
  </si>
  <si>
    <t>Delivery OK - 1372 us (1.37 ms)</t>
  </si>
  <si>
    <t>Delivery OK - 1377 us (1.38 ms)</t>
  </si>
  <si>
    <t>Delivery OK - 1400 us (1.40 ms)</t>
  </si>
  <si>
    <t>Delivery OK - 1328 us (1.33 ms)</t>
  </si>
  <si>
    <t>Delivery OK - 2273 us (2.27 ms)</t>
  </si>
  <si>
    <t>Delivery OK - 1382 us (1.38 ms)</t>
  </si>
  <si>
    <t>Delivery OK - 1391 us (1.39 ms)</t>
  </si>
  <si>
    <t>Delivery OK - 1364 us (1.36 ms)</t>
  </si>
  <si>
    <t>Delivery OK - 1398 us (1.40 ms)</t>
  </si>
  <si>
    <t>Delivery OK - 1326 us (1.33 ms)</t>
  </si>
  <si>
    <t>Delivery OK - 1387 us (1.39 ms)</t>
  </si>
  <si>
    <t>Delivery OK - 1519 us (1.52 ms)</t>
  </si>
  <si>
    <t>Delivery OK - 1366 us (1.37 ms)</t>
  </si>
  <si>
    <t>Delivery OK - 1463 us (1.46 ms)</t>
  </si>
  <si>
    <t>Delivery OK - 2796 us (2.80 ms)</t>
  </si>
  <si>
    <t>Delivery OK - 1529 us (1.53 ms)</t>
  </si>
  <si>
    <t>Delivery OK - 1373 us (1.37 ms)</t>
  </si>
  <si>
    <t>Delivery OK - 1367 us (1.37 ms)</t>
  </si>
  <si>
    <t>Test</t>
  </si>
  <si>
    <t>Distance (cm)</t>
  </si>
  <si>
    <t>Accuracy</t>
  </si>
  <si>
    <t>Y</t>
  </si>
  <si>
    <t>Average</t>
  </si>
  <si>
    <t>Centre</t>
  </si>
  <si>
    <t>Right</t>
  </si>
  <si>
    <t>Left</t>
  </si>
  <si>
    <t>Dead Zone success</t>
  </si>
  <si>
    <t>Yes</t>
  </si>
  <si>
    <t>Success Rate</t>
  </si>
  <si>
    <t>Left Entry</t>
  </si>
  <si>
    <t>Central Entry</t>
  </si>
  <si>
    <t>Right Entry</t>
  </si>
  <si>
    <t>* success was measured as binary yes or no -&gt; if y &lt; 30 alarm should ring</t>
  </si>
  <si>
    <t xml:space="preserve">** 30 cm as boxes are allowed within 50cm of wall </t>
  </si>
  <si>
    <t>TEST CASE</t>
  </si>
  <si>
    <t>UTC time at esp read (sec)</t>
  </si>
  <si>
    <t>UTC time at drawMallet() (sec)</t>
  </si>
  <si>
    <t>Sec Diff</t>
  </si>
  <si>
    <t>Ms conversion</t>
  </si>
  <si>
    <t>Averages</t>
  </si>
  <si>
    <t>Cont Avg</t>
  </si>
  <si>
    <t>Raw Ms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</si>
  <si>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</si>
  <si>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</si>
  <si>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</si>
  <si>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</si>
  <si>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</si>
  <si>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</si>
  <si>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</si>
  <si>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</si>
  <si>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Cell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</si>
</sst>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b/>
      <sz val="12"/>
      <color theme="1"/>
      <name val="Aptos Narrow"/>
      <scheme val="minor"/>
    </font>
    <font>
      <b/>
      <sz val="13"/>
      <color theme="1"/>
      <name val="Helvetica Neue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9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Response</a:t>
            </a:r>
            <a:r>
              <a:rPr lang="en-GB" baseline="0"/>
              <a:t> tIme of ESP data read to mallet drawn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Response Time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'T4'!$E$3:$E$102</c:f>
              <c:numCache>
                <c:formatCode>General</c:formatCode>
                <c:ptCount val="100"/>
                <c:pt idx="0">
                  <c:v>2.4269999999972924</c:v>
                </c:pt>
                <c:pt idx="1">
                  <c:v>1.3089999999991164</c:v>
                </c:pt>
                <c:pt idx="2">
                  <c:v>5.9860000000000468</c:v>
                </c:pt>
                <c:pt idx="3">
                  <c:v>11.708999999999747</c:v>
                </c:pt>
                <c:pt idx="4">
                  <c:v>0.77299999999880242</c:v>
                </c:pt>
                <c:pt idx="5">
                  <c:v>4.561999999999955</c:v>
                </c:pt>
                <c:pt idx="6">
                  <c:v>4.8890000000021416</c:v>
                </c:pt>
                <c:pt idx="7">
                  <c:v>5.0010000000000332</c:v>
                </c:pt>
                <c:pt idx="8">
                  <c:v>4.5730000000006044</c:v>
                </c:pt>
                <c:pt idx="9">
                  <c:v>4.1779999999995709</c:v>
                </c:pt>
                <c:pt idx="10">
                  <c:v>5.2389999999995496</c:v>
                </c:pt>
                <c:pt idx="11">
                  <c:v>6.2069999999998515</c:v>
                </c:pt>
                <c:pt idx="12">
                  <c:v>6.8270000000012487</c:v>
                </c:pt>
                <c:pt idx="13">
                  <c:v>7.9349999999998033</c:v>
                </c:pt>
                <c:pt idx="14">
                  <c:v>10.548000000000002</c:v>
                </c:pt>
                <c:pt idx="15">
                  <c:v>11.320999999998804</c:v>
                </c:pt>
                <c:pt idx="16">
                  <c:v>10.031999999998931</c:v>
                </c:pt>
                <c:pt idx="17">
                  <c:v>11.382000000001113</c:v>
                </c:pt>
                <c:pt idx="18">
                  <c:v>12.646999999997632</c:v>
                </c:pt>
                <c:pt idx="19">
                  <c:v>11.731000000001046</c:v>
                </c:pt>
                <c:pt idx="20">
                  <c:v>13.017999999998864</c:v>
                </c:pt>
                <c:pt idx="21">
                  <c:v>0.23000000000195087</c:v>
                </c:pt>
                <c:pt idx="22">
                  <c:v>3.7810000000000343</c:v>
                </c:pt>
                <c:pt idx="23">
                  <c:v>11.233000000000715</c:v>
                </c:pt>
                <c:pt idx="24">
                  <c:v>12.167999999999068</c:v>
                </c:pt>
                <c:pt idx="25">
                  <c:v>12.095999999999663</c:v>
                </c:pt>
                <c:pt idx="26">
                  <c:v>15.411999999997761</c:v>
                </c:pt>
                <c:pt idx="27">
                  <c:v>1.6919999999984725</c:v>
                </c:pt>
                <c:pt idx="28">
                  <c:v>0.74800000000152522</c:v>
                </c:pt>
                <c:pt idx="29">
                  <c:v>1.268999999997078</c:v>
                </c:pt>
                <c:pt idx="30">
                  <c:v>0.81699999999784723</c:v>
                </c:pt>
                <c:pt idx="31">
                  <c:v>0.26499999999884949</c:v>
                </c:pt>
                <c:pt idx="32">
                  <c:v>2.5709999999996569</c:v>
                </c:pt>
                <c:pt idx="33">
                  <c:v>1.5400000000020952</c:v>
                </c:pt>
                <c:pt idx="34">
                  <c:v>3.9840000000026521</c:v>
                </c:pt>
                <c:pt idx="35">
                  <c:v>9.0859999999999275</c:v>
                </c:pt>
                <c:pt idx="36">
                  <c:v>1.3599999999982515</c:v>
                </c:pt>
                <c:pt idx="37">
                  <c:v>0.61499999999981014</c:v>
                </c:pt>
                <c:pt idx="38">
                  <c:v>6.7610000000009052</c:v>
                </c:pt>
                <c:pt idx="39">
                  <c:v>2.7519999999974232</c:v>
                </c:pt>
                <c:pt idx="40">
                  <c:v>2.3079999999993106</c:v>
                </c:pt>
                <c:pt idx="41">
                  <c:v>1.8359999999972842</c:v>
                </c:pt>
                <c:pt idx="42">
                  <c:v>0.16000000000104819</c:v>
                </c:pt>
                <c:pt idx="43">
                  <c:v>18.233000000002164</c:v>
                </c:pt>
                <c:pt idx="44">
                  <c:v>0.24699999999455713</c:v>
                </c:pt>
                <c:pt idx="45">
                  <c:v>9.5910000000003492</c:v>
                </c:pt>
                <c:pt idx="46">
                  <c:v>7.8249999999968622</c:v>
                </c:pt>
                <c:pt idx="47">
                  <c:v>6.3420000000036225</c:v>
                </c:pt>
                <c:pt idx="48">
                  <c:v>6.6449999999989018</c:v>
                </c:pt>
                <c:pt idx="49">
                  <c:v>7.550000000001944</c:v>
                </c:pt>
                <c:pt idx="50">
                  <c:v>5.9259999999952129</c:v>
                </c:pt>
                <c:pt idx="51">
                  <c:v>7.9720000000023106</c:v>
                </c:pt>
                <c:pt idx="52">
                  <c:v>15.751000000001625</c:v>
                </c:pt>
                <c:pt idx="53">
                  <c:v>12.138000000000204</c:v>
                </c:pt>
                <c:pt idx="54">
                  <c:v>10.839000000004262</c:v>
                </c:pt>
                <c:pt idx="55">
                  <c:v>9.8930000000052587</c:v>
                </c:pt>
                <c:pt idx="56">
                  <c:v>9.2180000000041673</c:v>
                </c:pt>
                <c:pt idx="57">
                  <c:v>9.7619999999949414</c:v>
                </c:pt>
                <c:pt idx="58">
                  <c:v>9.197999999997819</c:v>
                </c:pt>
                <c:pt idx="59">
                  <c:v>16.255999999998494</c:v>
                </c:pt>
                <c:pt idx="60">
                  <c:v>15.232000000004575</c:v>
                </c:pt>
                <c:pt idx="61">
                  <c:v>12.861000000000899</c:v>
                </c:pt>
                <c:pt idx="62">
                  <c:v>11.831000000000813</c:v>
                </c:pt>
                <c:pt idx="63">
                  <c:v>12.662000000005946</c:v>
                </c:pt>
                <c:pt idx="64">
                  <c:v>9.8909999999960974</c:v>
                </c:pt>
                <c:pt idx="65">
                  <c:v>10.303000000000395</c:v>
                </c:pt>
                <c:pt idx="66">
                  <c:v>0.92099999999817328</c:v>
                </c:pt>
                <c:pt idx="67">
                  <c:v>16.20799999999889</c:v>
                </c:pt>
                <c:pt idx="68">
                  <c:v>3.669999999999618</c:v>
                </c:pt>
                <c:pt idx="69">
                  <c:v>10.653000000004909</c:v>
                </c:pt>
                <c:pt idx="70">
                  <c:v>14.959000000004608</c:v>
                </c:pt>
                <c:pt idx="71">
                  <c:v>13.731999999997413</c:v>
                </c:pt>
                <c:pt idx="72">
                  <c:v>12.985000000000468</c:v>
                </c:pt>
                <c:pt idx="73">
                  <c:v>11.65900000000164</c:v>
                </c:pt>
                <c:pt idx="74">
                  <c:v>11.137999999995429</c:v>
                </c:pt>
                <c:pt idx="75">
                  <c:v>9.1579999999993333</c:v>
                </c:pt>
                <c:pt idx="76">
                  <c:v>7.7490000000040027</c:v>
                </c:pt>
                <c:pt idx="77">
                  <c:v>10.455000000000325</c:v>
                </c:pt>
                <c:pt idx="78">
                  <c:v>11.389999999998679</c:v>
                </c:pt>
                <c:pt idx="79">
                  <c:v>20.446999999997217</c:v>
                </c:pt>
                <c:pt idx="80">
                  <c:v>15.508000000004074</c:v>
                </c:pt>
                <c:pt idx="81">
                  <c:v>9.9990000000005352</c:v>
                </c:pt>
                <c:pt idx="82">
                  <c:v>7.6120000000017285</c:v>
                </c:pt>
                <c:pt idx="83">
                  <c:v>4.0750000000002728</c:v>
                </c:pt>
                <c:pt idx="84">
                  <c:v>14.94199999999779</c:v>
                </c:pt>
                <c:pt idx="85">
                  <c:v>16.141000000004624</c:v>
                </c:pt>
                <c:pt idx="86">
                  <c:v>18.765000000001919</c:v>
                </c:pt>
                <c:pt idx="87">
                  <c:v>6.2309999999996535</c:v>
                </c:pt>
                <c:pt idx="88">
                  <c:v>3.8200000000045975</c:v>
                </c:pt>
                <c:pt idx="89">
                  <c:v>14.414000000002147</c:v>
                </c:pt>
                <c:pt idx="90">
                  <c:v>19.356999999999402</c:v>
                </c:pt>
                <c:pt idx="91">
                  <c:v>17.223999999998796</c:v>
                </c:pt>
                <c:pt idx="92">
                  <c:v>6.3470000000052096</c:v>
                </c:pt>
                <c:pt idx="93">
                  <c:v>4.4299999999992679</c:v>
                </c:pt>
                <c:pt idx="94">
                  <c:v>3.4929999999988581</c:v>
                </c:pt>
                <c:pt idx="95">
                  <c:v>0.74199999999535748</c:v>
                </c:pt>
                <c:pt idx="96">
                  <c:v>15.07999999999754</c:v>
                </c:pt>
                <c:pt idx="97">
                  <c:v>14.867999999999881</c:v>
                </c:pt>
                <c:pt idx="98">
                  <c:v>9.9339999999941142</c:v>
                </c:pt>
                <c:pt idx="99">
                  <c:v>9.6619999999987272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6-5D42-AAE5-7AAB565DAAB2}"/>
            </c:ext>
          </c:extLst>
        </c:ser>
        <c:ser>
          <c:idx val="1"/>
          <c:order val="1"/>
          <c:tx>
            <c:v>Accumulative Average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'T4'!$F$3:$F$102</c:f>
              <c:numCache>
                <c:formatCode>General</c:formatCode>
                <c:ptCount val="100"/>
                <c:pt idx="0">
                  <c:v>2.4269999999972924</c:v>
                </c:pt>
                <c:pt idx="1">
                  <c:v>1.8679999999982044</c:v>
                </c:pt>
                <c:pt idx="2">
                  <c:v>3.2406666666654851</c:v>
                </c:pt>
                <c:pt idx="3">
                  <c:v>5.3577499999990508</c:v>
                </c:pt>
                <c:pt idx="4">
                  <c:v>4.4407999999990011</c:v>
                </c:pt>
                <c:pt idx="5">
                  <c:v>4.4609999999991601</c:v>
                </c:pt>
                <c:pt idx="6">
                  <c:v>4.5221428571424429</c:v>
                </c:pt>
                <c:pt idx="7">
                  <c:v>4.5819999999996419</c:v>
                </c:pt>
                <c:pt idx="8">
                  <c:v>4.5809999999997491</c:v>
                </c:pt>
                <c:pt idx="9">
                  <c:v>4.5406999999997311</c:v>
                </c:pt>
                <c:pt idx="10">
                  <c:v>4.6041818181815328</c:v>
                </c:pt>
                <c:pt idx="11">
                  <c:v>4.7377499999997257</c:v>
                </c:pt>
                <c:pt idx="12">
                  <c:v>4.8984615384613814</c:v>
                </c:pt>
                <c:pt idx="13">
                  <c:v>5.1153571428569835</c:v>
                </c:pt>
                <c:pt idx="14">
                  <c:v>5.4775333333331844</c:v>
                </c:pt>
                <c:pt idx="15">
                  <c:v>5.8427499999997856</c:v>
                </c:pt>
                <c:pt idx="16">
                  <c:v>6.0891764705879705</c:v>
                </c:pt>
                <c:pt idx="17">
                  <c:v>6.3832222222220345</c:v>
                </c:pt>
                <c:pt idx="18">
                  <c:v>6.7128947368418022</c:v>
                </c:pt>
                <c:pt idx="19">
                  <c:v>6.9637999999997646</c:v>
                </c:pt>
                <c:pt idx="20">
                  <c:v>7.2520952380949595</c:v>
                </c:pt>
                <c:pt idx="21">
                  <c:v>6.9329090909089137</c:v>
                </c:pt>
                <c:pt idx="22">
                  <c:v>6.7958695652172239</c:v>
                </c:pt>
                <c:pt idx="23">
                  <c:v>6.980749999999869</c:v>
                </c:pt>
                <c:pt idx="24">
                  <c:v>7.188239999999837</c:v>
                </c:pt>
                <c:pt idx="25">
                  <c:v>7.3769999999998301</c:v>
                </c:pt>
                <c:pt idx="26">
                  <c:v>7.6745925925923464</c:v>
                </c:pt>
                <c:pt idx="27">
                  <c:v>7.4609285714282789</c:v>
                </c:pt>
                <c:pt idx="28">
                  <c:v>7.2294482758618397</c:v>
                </c:pt>
                <c:pt idx="29">
                  <c:v>7.0307666666663478</c:v>
                </c:pt>
                <c:pt idx="30">
                  <c:v>6.8303225806447827</c:v>
                </c:pt>
                <c:pt idx="31">
                  <c:v>6.6251562499995975</c:v>
                </c:pt>
                <c:pt idx="32">
                  <c:v>6.5023030303026292</c:v>
                </c:pt>
                <c:pt idx="33">
                  <c:v>6.3563529411761435</c:v>
                </c:pt>
                <c:pt idx="34">
                  <c:v>6.2885714285711867</c:v>
                </c:pt>
                <c:pt idx="35">
                  <c:v>6.3662777777775403</c:v>
                </c:pt>
                <c:pt idx="36">
                  <c:v>6.2309729729726948</c:v>
                </c:pt>
                <c:pt idx="37">
                  <c:v>6.0831842105260394</c:v>
                </c:pt>
                <c:pt idx="38">
                  <c:v>6.1005641025638573</c:v>
                </c:pt>
                <c:pt idx="39">
                  <c:v>6.0168499999996961</c:v>
                </c:pt>
                <c:pt idx="40">
                  <c:v>5.9263902439021257</c:v>
                </c:pt>
                <c:pt idx="41">
                  <c:v>5.8289999999996294</c:v>
                </c:pt>
                <c:pt idx="42">
                  <c:v>5.6971627906973366</c:v>
                </c:pt>
                <c:pt idx="43">
                  <c:v>5.9820681818179002</c:v>
                </c:pt>
                <c:pt idx="44">
                  <c:v>5.8546222222218258</c:v>
                </c:pt>
                <c:pt idx="45">
                  <c:v>5.9358478260865768</c:v>
                </c:pt>
                <c:pt idx="46">
                  <c:v>5.9760425531910508</c:v>
                </c:pt>
                <c:pt idx="47">
                  <c:v>5.9836666666663128</c:v>
                </c:pt>
                <c:pt idx="48">
                  <c:v>5.9971632653057529</c:v>
                </c:pt>
                <c:pt idx="49">
                  <c:v>6.0282199999996768</c:v>
                </c:pt>
                <c:pt idx="50">
                  <c:v>6.0262156862740994</c:v>
                </c:pt>
                <c:pt idx="51">
                  <c:v>6.0636346153842577</c:v>
                </c:pt>
                <c:pt idx="52">
                  <c:v>6.2464150943393024</c:v>
                </c:pt>
                <c:pt idx="53">
                  <c:v>6.3555185185182079</c:v>
                </c:pt>
                <c:pt idx="54">
                  <c:v>6.4370363636361363</c:v>
                </c:pt>
                <c:pt idx="55">
                  <c:v>6.4987499999998706</c:v>
                </c:pt>
                <c:pt idx="56">
                  <c:v>6.5464561403508226</c:v>
                </c:pt>
                <c:pt idx="57">
                  <c:v>6.6018965517239971</c:v>
                </c:pt>
                <c:pt idx="58">
                  <c:v>6.6458983050845708</c:v>
                </c:pt>
                <c:pt idx="59">
                  <c:v>6.8060666666664691</c:v>
                </c:pt>
                <c:pt idx="60">
                  <c:v>6.9441967213113562</c:v>
                </c:pt>
                <c:pt idx="61">
                  <c:v>7.0396290322579613</c:v>
                </c:pt>
                <c:pt idx="62">
                  <c:v>7.1156825396824512</c:v>
                </c:pt>
                <c:pt idx="63">
                  <c:v>7.202343750000006</c:v>
                </c:pt>
                <c:pt idx="64">
                  <c:v>7.2437076923076384</c:v>
                </c:pt>
                <c:pt idx="65">
                  <c:v>7.2900606060605586</c:v>
                </c:pt>
                <c:pt idx="66">
                  <c:v>7.1949999999999266</c:v>
                </c:pt>
                <c:pt idx="67">
                  <c:v>7.32754411764697</c:v>
                </c:pt>
                <c:pt idx="68">
                  <c:v>7.2745362318839648</c:v>
                </c:pt>
                <c:pt idx="69">
                  <c:v>7.3227999999999769</c:v>
                </c:pt>
                <c:pt idx="70">
                  <c:v>7.4303521126760987</c:v>
                </c:pt>
                <c:pt idx="71">
                  <c:v>7.5178750000000072</c:v>
                </c:pt>
                <c:pt idx="72">
                  <c:v>7.5927671232876843</c:v>
                </c:pt>
                <c:pt idx="73">
                  <c:v>7.6477162162162502</c:v>
                </c:pt>
                <c:pt idx="74">
                  <c:v>7.6942533333333056</c:v>
                </c:pt>
                <c:pt idx="75">
                  <c:v>7.7135131578947007</c:v>
                </c:pt>
                <c:pt idx="76">
                  <c:v>7.7139740259740419</c:v>
                </c:pt>
                <c:pt idx="77">
                  <c:v>7.7491153846154059</c:v>
                </c:pt>
                <c:pt idx="78">
                  <c:v>7.7952025316455744</c:v>
                </c:pt>
                <c:pt idx="79">
                  <c:v>7.9533499999999693</c:v>
                </c:pt>
                <c:pt idx="80">
                  <c:v>8.0466172839506385</c:v>
                </c:pt>
                <c:pt idx="81">
                  <c:v>8.0704268292683192</c:v>
                </c:pt>
                <c:pt idx="82">
                  <c:v>8.0649036144578776</c:v>
                </c:pt>
                <c:pt idx="83">
                  <c:v>8.0174047619048103</c:v>
                </c:pt>
                <c:pt idx="84">
                  <c:v>8.0988705882353162</c:v>
                </c:pt>
                <c:pt idx="85">
                  <c:v>8.192383720930307</c:v>
                </c:pt>
                <c:pt idx="86">
                  <c:v>8.313908045977108</c:v>
                </c:pt>
                <c:pt idx="87">
                  <c:v>8.2902386363637266</c:v>
                </c:pt>
                <c:pt idx="88">
                  <c:v>8.2400112359551976</c:v>
                </c:pt>
                <c:pt idx="89">
                  <c:v>8.3086111111112757</c:v>
                </c:pt>
                <c:pt idx="90">
                  <c:v>8.4300219780221344</c:v>
                </c:pt>
                <c:pt idx="91">
                  <c:v>8.5256086956523145</c:v>
                </c:pt>
                <c:pt idx="92">
                  <c:v>8.5021827956991203</c:v>
                </c:pt>
                <c:pt idx="93">
                  <c:v>8.4588617021278445</c:v>
                </c:pt>
                <c:pt idx="94">
                  <c:v>8.4065894736843827</c:v>
                </c:pt>
                <c:pt idx="95">
                  <c:v>8.3267500000001231</c:v>
                </c:pt>
                <c:pt idx="96">
                  <c:v>8.3963711340207148</c:v>
                </c:pt>
                <c:pt idx="97">
                  <c:v>8.4624081632653994</c:v>
                </c:pt>
                <c:pt idx="98">
                  <c:v>8.4772727272727586</c:v>
                </c:pt>
                <c:pt idx="99">
                  <c:v>8.4891200000000193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A6-5D42-AAE5-7AAB565D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685218944"/>
        <c:axId val="1685213568"/>
      </c:lineChart>
      <c:catAx>
        <c:axId val="168521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Test Case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13568"/>
        <c:crosses val="autoZero"/>
        <c:auto val="1"/>
        <c:lblAlgn val="ctr"/>
        <c:lblOffset val="100"/>
        <c:noMultiLvlLbl val="0"/>
      </c:catAx>
      <c:valAx>
        <c:axId val="16852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1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126052</xdr:colOff>
      <xdr:row>3</xdr:row>
      <xdr:rowOff>84668</xdr:rowOff>
    </xdr:from>
    <xdr:to>
      <xdr:col>15</xdr:col>
      <xdr:colOff>423333</xdr:colOff>
      <xdr:row>25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4E37E-FCEE-C24F-B5ED-A98BF7D5D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2E24-A59C-DA44-8F8C-7D8F80596BC3}">
  <dimension ref="A1:K14"/>
  <sheetViews>
    <sheetView workbookViewId="0">
      <selection activeCell="K12" sqref="K12"/>
    </sheetView>
  </sheetViews>
  <sheetFormatPr baseColWidth="10" defaultRowHeight="16" x14ac:dyDescent="0.2"/>
  <cols>
    <col min="2" max="2" width="12.6640625" bestFit="1" customWidth="1"/>
  </cols>
  <sheetData>
    <row r="1" spans="1:11" s="2" customFormat="1" x14ac:dyDescent="0.2">
      <c r="A1" s="2" t="s">
        <v>51</v>
      </c>
      <c r="B1" s="2" t="s">
        <v>52</v>
      </c>
      <c r="C1" s="2" t="s">
        <v>53</v>
      </c>
      <c r="E1" s="2" t="s">
        <v>51</v>
      </c>
      <c r="F1" s="2" t="s">
        <v>52</v>
      </c>
      <c r="G1" s="2" t="s">
        <v>53</v>
      </c>
      <c r="I1" s="2" t="s">
        <v>51</v>
      </c>
      <c r="J1" s="2" t="s">
        <v>52</v>
      </c>
      <c r="K1" s="2" t="s">
        <v>53</v>
      </c>
    </row>
    <row r="2" spans="1:11" x14ac:dyDescent="0.2">
      <c r="A2">
        <v>1</v>
      </c>
      <c r="B2">
        <v>194</v>
      </c>
      <c r="C2" t="s">
        <v>54</v>
      </c>
      <c r="E2">
        <v>1</v>
      </c>
      <c r="F2">
        <v>204</v>
      </c>
      <c r="G2" t="s">
        <v>54</v>
      </c>
      <c r="I2">
        <v>1</v>
      </c>
      <c r="J2">
        <v>198</v>
      </c>
      <c r="K2" t="s">
        <v>54</v>
      </c>
    </row>
    <row r="3" spans="1:11" x14ac:dyDescent="0.2">
      <c r="A3">
        <v>2</v>
      </c>
      <c r="B3">
        <v>195</v>
      </c>
      <c r="C3" t="s">
        <v>54</v>
      </c>
      <c r="E3">
        <v>2</v>
      </c>
      <c r="F3">
        <v>205</v>
      </c>
      <c r="G3" t="s">
        <v>54</v>
      </c>
      <c r="I3">
        <v>2</v>
      </c>
      <c r="J3">
        <v>200</v>
      </c>
      <c r="K3" t="s">
        <v>54</v>
      </c>
    </row>
    <row r="4" spans="1:11" x14ac:dyDescent="0.2">
      <c r="A4">
        <v>3</v>
      </c>
      <c r="B4">
        <v>204</v>
      </c>
      <c r="C4" t="s">
        <v>54</v>
      </c>
      <c r="E4">
        <v>3</v>
      </c>
      <c r="F4">
        <v>202</v>
      </c>
      <c r="G4" t="s">
        <v>54</v>
      </c>
      <c r="I4">
        <v>3</v>
      </c>
      <c r="J4">
        <v>205</v>
      </c>
      <c r="K4" t="s">
        <v>54</v>
      </c>
    </row>
    <row r="5" spans="1:11" x14ac:dyDescent="0.2">
      <c r="A5">
        <v>4</v>
      </c>
      <c r="B5">
        <v>205</v>
      </c>
      <c r="C5" t="s">
        <v>54</v>
      </c>
      <c r="E5">
        <v>4</v>
      </c>
      <c r="F5">
        <v>195</v>
      </c>
      <c r="G5" t="s">
        <v>54</v>
      </c>
      <c r="I5">
        <v>4</v>
      </c>
      <c r="J5">
        <v>205</v>
      </c>
      <c r="K5" t="s">
        <v>54</v>
      </c>
    </row>
    <row r="6" spans="1:11" x14ac:dyDescent="0.2">
      <c r="A6">
        <v>5</v>
      </c>
      <c r="B6">
        <v>204</v>
      </c>
      <c r="C6" t="s">
        <v>54</v>
      </c>
      <c r="E6">
        <v>5</v>
      </c>
      <c r="F6">
        <v>200</v>
      </c>
      <c r="G6" t="s">
        <v>54</v>
      </c>
      <c r="I6">
        <v>5</v>
      </c>
      <c r="J6">
        <v>201</v>
      </c>
      <c r="K6" t="s">
        <v>54</v>
      </c>
    </row>
    <row r="7" spans="1:11" x14ac:dyDescent="0.2">
      <c r="A7">
        <v>6</v>
      </c>
      <c r="B7">
        <v>203</v>
      </c>
      <c r="C7" t="s">
        <v>54</v>
      </c>
      <c r="E7">
        <v>6</v>
      </c>
      <c r="F7">
        <v>201</v>
      </c>
      <c r="G7" t="s">
        <v>54</v>
      </c>
      <c r="I7">
        <v>6</v>
      </c>
      <c r="J7">
        <v>195</v>
      </c>
      <c r="K7" t="s">
        <v>54</v>
      </c>
    </row>
    <row r="8" spans="1:11" x14ac:dyDescent="0.2">
      <c r="A8">
        <v>7</v>
      </c>
      <c r="B8">
        <v>204</v>
      </c>
      <c r="C8" t="s">
        <v>54</v>
      </c>
      <c r="E8">
        <v>7</v>
      </c>
      <c r="F8">
        <v>205</v>
      </c>
      <c r="G8" t="s">
        <v>54</v>
      </c>
      <c r="I8">
        <v>7</v>
      </c>
      <c r="J8">
        <v>203</v>
      </c>
      <c r="K8" t="s">
        <v>54</v>
      </c>
    </row>
    <row r="9" spans="1:11" x14ac:dyDescent="0.2">
      <c r="A9">
        <v>8</v>
      </c>
      <c r="B9">
        <v>205</v>
      </c>
      <c r="C9" t="s">
        <v>54</v>
      </c>
      <c r="E9">
        <v>8</v>
      </c>
      <c r="F9">
        <v>205</v>
      </c>
      <c r="G9" t="s">
        <v>54</v>
      </c>
      <c r="I9">
        <v>8</v>
      </c>
      <c r="J9">
        <v>204</v>
      </c>
      <c r="K9" t="s">
        <v>54</v>
      </c>
    </row>
    <row r="10" spans="1:11" x14ac:dyDescent="0.2">
      <c r="A10">
        <v>9</v>
      </c>
      <c r="B10">
        <v>203</v>
      </c>
      <c r="C10" t="s">
        <v>54</v>
      </c>
      <c r="E10">
        <v>9</v>
      </c>
      <c r="F10">
        <v>203</v>
      </c>
      <c r="G10" t="s">
        <v>54</v>
      </c>
      <c r="I10">
        <v>9</v>
      </c>
      <c r="J10">
        <v>202</v>
      </c>
      <c r="K10" t="s">
        <v>54</v>
      </c>
    </row>
    <row r="11" spans="1:11" x14ac:dyDescent="0.2">
      <c r="A11">
        <v>10</v>
      </c>
      <c r="B11">
        <v>196</v>
      </c>
      <c r="C11" t="s">
        <v>54</v>
      </c>
      <c r="E11">
        <v>10</v>
      </c>
      <c r="F11">
        <v>196</v>
      </c>
      <c r="G11" t="s">
        <v>54</v>
      </c>
      <c r="I11">
        <v>10</v>
      </c>
      <c r="J11">
        <v>205</v>
      </c>
      <c r="K11" t="s">
        <v>54</v>
      </c>
    </row>
    <row r="12" spans="1:11" x14ac:dyDescent="0.2">
      <c r="A12" s="2" t="s">
        <v>55</v>
      </c>
      <c r="B12">
        <f>AVERAGE(B2:B11)</f>
        <v>201.3</v>
      </c>
      <c r="E12" s="2" t="s">
        <v>55</v>
      </c>
      <c r="F12">
        <f>AVERAGE(F2:F11)</f>
        <v>201.6</v>
      </c>
      <c r="I12" s="2" t="s">
        <v>55</v>
      </c>
      <c r="J12">
        <f>AVERAGE(J2:J11)</f>
        <v>201.8</v>
      </c>
    </row>
    <row r="14" spans="1:11" x14ac:dyDescent="0.2">
      <c r="B14" s="2" t="s">
        <v>58</v>
      </c>
      <c r="F14" s="2" t="s">
        <v>56</v>
      </c>
      <c r="J14" s="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E8B7-9C58-9C45-9A76-72FAB5CED5CB}">
  <dimension ref="A1:H25"/>
  <sheetViews>
    <sheetView workbookViewId="0">
      <selection activeCell="B26" sqref="B26"/>
    </sheetView>
  </sheetViews>
  <sheetFormatPr baseColWidth="10" defaultRowHeight="16" x14ac:dyDescent="0.2"/>
  <cols>
    <col min="1" max="1" width="3.1640625" style="2" bestFit="1" customWidth="1"/>
    <col min="2" max="2" width="26.1640625" bestFit="1" customWidth="1"/>
    <col min="3" max="3" width="3.1640625" style="2" bestFit="1" customWidth="1"/>
    <col min="4" max="4" width="26.1640625" bestFit="1" customWidth="1"/>
    <col min="5" max="5" width="3.1640625" style="2" bestFit="1" customWidth="1"/>
    <col min="6" max="6" width="26.1640625" bestFit="1" customWidth="1"/>
    <col min="7" max="7" width="4.1640625" style="2" bestFit="1" customWidth="1"/>
    <col min="8" max="8" width="26.1640625" bestFit="1" customWidth="1"/>
  </cols>
  <sheetData>
    <row r="1" spans="1:8" x14ac:dyDescent="0.2">
      <c r="A1" s="2">
        <v>1</v>
      </c>
      <c r="B1" t="s">
        <v>0</v>
      </c>
      <c r="C1" s="2">
        <v>26</v>
      </c>
      <c r="D1" t="s">
        <v>10</v>
      </c>
      <c r="E1" s="2">
        <v>51</v>
      </c>
      <c r="F1" t="s">
        <v>19</v>
      </c>
      <c r="G1" s="2">
        <v>76</v>
      </c>
      <c r="H1" t="s">
        <v>6</v>
      </c>
    </row>
    <row r="2" spans="1:8" x14ac:dyDescent="0.2">
      <c r="A2" s="2">
        <v>2</v>
      </c>
      <c r="B2" t="s">
        <v>1</v>
      </c>
      <c r="C2" s="2">
        <v>27</v>
      </c>
      <c r="D2" t="s">
        <v>14</v>
      </c>
      <c r="E2" s="2">
        <v>52</v>
      </c>
      <c r="F2" t="s">
        <v>6</v>
      </c>
      <c r="G2" s="2">
        <v>77</v>
      </c>
      <c r="H2" t="s">
        <v>6</v>
      </c>
    </row>
    <row r="3" spans="1:8" x14ac:dyDescent="0.2">
      <c r="A3" s="2">
        <v>3</v>
      </c>
      <c r="B3" t="s">
        <v>2</v>
      </c>
      <c r="C3" s="2">
        <v>28</v>
      </c>
      <c r="D3" t="s">
        <v>10</v>
      </c>
      <c r="E3" s="2">
        <v>53</v>
      </c>
      <c r="F3" t="s">
        <v>7</v>
      </c>
      <c r="G3" s="2">
        <v>78</v>
      </c>
      <c r="H3" t="s">
        <v>19</v>
      </c>
    </row>
    <row r="4" spans="1:8" x14ac:dyDescent="0.2">
      <c r="A4" s="2">
        <v>4</v>
      </c>
      <c r="B4" t="s">
        <v>3</v>
      </c>
      <c r="C4" s="2">
        <v>29</v>
      </c>
      <c r="D4" t="s">
        <v>13</v>
      </c>
      <c r="E4" s="2">
        <v>54</v>
      </c>
      <c r="F4" t="s">
        <v>25</v>
      </c>
      <c r="G4" s="2">
        <v>79</v>
      </c>
      <c r="H4" t="s">
        <v>17</v>
      </c>
    </row>
    <row r="5" spans="1:8" x14ac:dyDescent="0.2">
      <c r="A5" s="2">
        <v>5</v>
      </c>
      <c r="B5" t="s">
        <v>4</v>
      </c>
      <c r="C5" s="2">
        <v>30</v>
      </c>
      <c r="D5" t="s">
        <v>6</v>
      </c>
      <c r="E5" s="2">
        <v>55</v>
      </c>
      <c r="F5" t="s">
        <v>11</v>
      </c>
      <c r="G5" s="2">
        <v>80</v>
      </c>
      <c r="H5" t="s">
        <v>10</v>
      </c>
    </row>
    <row r="6" spans="1:8" x14ac:dyDescent="0.2">
      <c r="A6" s="2">
        <v>6</v>
      </c>
      <c r="B6" t="s">
        <v>5</v>
      </c>
      <c r="C6" s="2">
        <v>31</v>
      </c>
      <c r="D6" t="s">
        <v>19</v>
      </c>
      <c r="E6" s="2">
        <v>56</v>
      </c>
      <c r="F6" t="s">
        <v>0</v>
      </c>
      <c r="G6" s="2">
        <v>81</v>
      </c>
      <c r="H6" t="s">
        <v>7</v>
      </c>
    </row>
    <row r="7" spans="1:8" x14ac:dyDescent="0.2">
      <c r="A7" s="2">
        <v>7</v>
      </c>
      <c r="B7" t="s">
        <v>6</v>
      </c>
      <c r="C7" s="2">
        <v>32</v>
      </c>
      <c r="D7" t="s">
        <v>7</v>
      </c>
      <c r="E7" s="2">
        <v>57</v>
      </c>
      <c r="F7" t="s">
        <v>7</v>
      </c>
      <c r="G7" s="2">
        <v>82</v>
      </c>
      <c r="H7" t="s">
        <v>1</v>
      </c>
    </row>
    <row r="8" spans="1:8" x14ac:dyDescent="0.2">
      <c r="A8" s="2">
        <v>8</v>
      </c>
      <c r="B8" t="s">
        <v>7</v>
      </c>
      <c r="C8" s="2">
        <v>33</v>
      </c>
      <c r="D8" t="s">
        <v>10</v>
      </c>
      <c r="E8" s="2">
        <v>58</v>
      </c>
      <c r="F8" t="s">
        <v>11</v>
      </c>
      <c r="G8" s="2">
        <v>83</v>
      </c>
      <c r="H8" t="s">
        <v>11</v>
      </c>
    </row>
    <row r="9" spans="1:8" x14ac:dyDescent="0.2">
      <c r="A9" s="2">
        <v>9</v>
      </c>
      <c r="B9" t="s">
        <v>8</v>
      </c>
      <c r="C9" s="2">
        <v>34</v>
      </c>
      <c r="D9" t="s">
        <v>15</v>
      </c>
      <c r="E9" s="2">
        <v>59</v>
      </c>
      <c r="F9" t="s">
        <v>26</v>
      </c>
      <c r="G9" s="2">
        <v>84</v>
      </c>
      <c r="H9" t="s">
        <v>17</v>
      </c>
    </row>
    <row r="10" spans="1:8" x14ac:dyDescent="0.2">
      <c r="A10" s="2">
        <v>10</v>
      </c>
      <c r="B10" t="s">
        <v>9</v>
      </c>
      <c r="C10" s="2">
        <v>35</v>
      </c>
      <c r="D10" t="s">
        <v>6</v>
      </c>
      <c r="E10" s="2">
        <v>60</v>
      </c>
      <c r="F10" t="s">
        <v>0</v>
      </c>
      <c r="G10" s="2">
        <v>85</v>
      </c>
      <c r="H10" t="s">
        <v>0</v>
      </c>
    </row>
    <row r="11" spans="1:8" x14ac:dyDescent="0.2">
      <c r="A11" s="2">
        <v>11</v>
      </c>
      <c r="B11" t="s">
        <v>0</v>
      </c>
      <c r="C11" s="2">
        <v>36</v>
      </c>
      <c r="D11" t="s">
        <v>20</v>
      </c>
      <c r="E11" s="2">
        <v>61</v>
      </c>
      <c r="F11" t="s">
        <v>6</v>
      </c>
      <c r="G11" s="2">
        <v>86</v>
      </c>
      <c r="H11" t="s">
        <v>6</v>
      </c>
    </row>
    <row r="12" spans="1:8" x14ac:dyDescent="0.2">
      <c r="A12" s="2">
        <v>12</v>
      </c>
      <c r="B12" t="s">
        <v>10</v>
      </c>
      <c r="C12" s="2">
        <v>37</v>
      </c>
      <c r="D12" t="s">
        <v>11</v>
      </c>
      <c r="E12" s="2">
        <v>62</v>
      </c>
      <c r="F12" t="s">
        <v>10</v>
      </c>
      <c r="G12" s="2">
        <v>87</v>
      </c>
      <c r="H12" t="s">
        <v>7</v>
      </c>
    </row>
    <row r="13" spans="1:8" x14ac:dyDescent="0.2">
      <c r="A13" s="2">
        <v>13</v>
      </c>
      <c r="B13" t="s">
        <v>11</v>
      </c>
      <c r="C13" s="2">
        <v>38</v>
      </c>
      <c r="D13" t="s">
        <v>21</v>
      </c>
      <c r="E13" s="2">
        <v>63</v>
      </c>
      <c r="F13" t="s">
        <v>6</v>
      </c>
      <c r="G13" s="2">
        <v>88</v>
      </c>
      <c r="H13" t="s">
        <v>0</v>
      </c>
    </row>
    <row r="14" spans="1:8" x14ac:dyDescent="0.2">
      <c r="A14" s="2">
        <v>14</v>
      </c>
      <c r="B14" t="s">
        <v>12</v>
      </c>
      <c r="C14" s="2">
        <v>39</v>
      </c>
      <c r="D14" t="s">
        <v>22</v>
      </c>
      <c r="E14" s="2">
        <v>64</v>
      </c>
      <c r="F14" t="s">
        <v>20</v>
      </c>
      <c r="G14" s="2">
        <v>89</v>
      </c>
      <c r="H14" t="s">
        <v>31</v>
      </c>
    </row>
    <row r="15" spans="1:8" x14ac:dyDescent="0.2">
      <c r="A15" s="2">
        <v>15</v>
      </c>
      <c r="B15" t="s">
        <v>13</v>
      </c>
      <c r="C15" s="2">
        <v>40</v>
      </c>
      <c r="D15" t="s">
        <v>6</v>
      </c>
      <c r="E15" s="2">
        <v>65</v>
      </c>
      <c r="F15" t="s">
        <v>6</v>
      </c>
      <c r="G15" s="2">
        <v>90</v>
      </c>
      <c r="H15" t="s">
        <v>6</v>
      </c>
    </row>
    <row r="16" spans="1:8" x14ac:dyDescent="0.2">
      <c r="A16" s="2">
        <v>16</v>
      </c>
      <c r="B16" t="s">
        <v>1</v>
      </c>
      <c r="C16" s="2">
        <v>41</v>
      </c>
      <c r="D16" t="s">
        <v>14</v>
      </c>
      <c r="E16" s="2">
        <v>66</v>
      </c>
      <c r="F16" t="s">
        <v>27</v>
      </c>
      <c r="G16" s="2">
        <v>91</v>
      </c>
      <c r="H16" t="s">
        <v>0</v>
      </c>
    </row>
    <row r="17" spans="1:8" x14ac:dyDescent="0.2">
      <c r="A17" s="2">
        <v>17</v>
      </c>
      <c r="B17" t="s">
        <v>14</v>
      </c>
      <c r="C17" s="2">
        <v>42</v>
      </c>
      <c r="D17" t="s">
        <v>7</v>
      </c>
      <c r="E17" s="2">
        <v>67</v>
      </c>
      <c r="F17" t="s">
        <v>19</v>
      </c>
      <c r="G17" s="2">
        <v>92</v>
      </c>
      <c r="H17" t="s">
        <v>11</v>
      </c>
    </row>
    <row r="18" spans="1:8" x14ac:dyDescent="0.2">
      <c r="A18" s="2">
        <v>18</v>
      </c>
      <c r="B18" t="s">
        <v>0</v>
      </c>
      <c r="C18" s="2">
        <v>43</v>
      </c>
      <c r="D18" t="s">
        <v>7</v>
      </c>
      <c r="E18" s="2">
        <v>68</v>
      </c>
      <c r="F18" t="s">
        <v>28</v>
      </c>
      <c r="G18" s="2">
        <v>93</v>
      </c>
      <c r="H18" t="s">
        <v>6</v>
      </c>
    </row>
    <row r="19" spans="1:8" x14ac:dyDescent="0.2">
      <c r="A19" s="2">
        <v>19</v>
      </c>
      <c r="B19" t="s">
        <v>15</v>
      </c>
      <c r="C19" s="2">
        <v>44</v>
      </c>
      <c r="D19" t="s">
        <v>23</v>
      </c>
      <c r="E19" s="2">
        <v>69</v>
      </c>
      <c r="F19" t="s">
        <v>29</v>
      </c>
      <c r="G19" s="2">
        <v>94</v>
      </c>
      <c r="H19" t="s">
        <v>8</v>
      </c>
    </row>
    <row r="20" spans="1:8" x14ac:dyDescent="0.2">
      <c r="A20" s="2">
        <v>20</v>
      </c>
      <c r="B20" t="s">
        <v>0</v>
      </c>
      <c r="C20" s="2">
        <v>45</v>
      </c>
      <c r="D20" t="s">
        <v>5</v>
      </c>
      <c r="E20" s="2">
        <v>70</v>
      </c>
      <c r="F20" t="s">
        <v>6</v>
      </c>
      <c r="G20" s="2">
        <v>95</v>
      </c>
      <c r="H20" t="s">
        <v>32</v>
      </c>
    </row>
    <row r="21" spans="1:8" x14ac:dyDescent="0.2">
      <c r="A21" s="2">
        <v>21</v>
      </c>
      <c r="B21" t="s">
        <v>16</v>
      </c>
      <c r="C21" s="2">
        <v>46</v>
      </c>
      <c r="D21" t="s">
        <v>0</v>
      </c>
      <c r="E21" s="2">
        <v>71</v>
      </c>
      <c r="F21" t="s">
        <v>11</v>
      </c>
      <c r="G21" s="2">
        <v>96</v>
      </c>
      <c r="H21" t="s">
        <v>5</v>
      </c>
    </row>
    <row r="22" spans="1:8" x14ac:dyDescent="0.2">
      <c r="A22" s="2">
        <v>22</v>
      </c>
      <c r="B22" t="s">
        <v>0</v>
      </c>
      <c r="C22" s="2">
        <v>47</v>
      </c>
      <c r="D22" t="s">
        <v>7</v>
      </c>
      <c r="E22" s="2">
        <v>72</v>
      </c>
      <c r="F22" t="s">
        <v>19</v>
      </c>
      <c r="G22" s="2">
        <v>97</v>
      </c>
      <c r="H22" t="s">
        <v>33</v>
      </c>
    </row>
    <row r="23" spans="1:8" x14ac:dyDescent="0.2">
      <c r="A23" s="2">
        <v>23</v>
      </c>
      <c r="B23" t="s">
        <v>6</v>
      </c>
      <c r="C23" s="2">
        <v>48</v>
      </c>
      <c r="D23" t="s">
        <v>10</v>
      </c>
      <c r="E23" s="2">
        <v>73</v>
      </c>
      <c r="F23" t="s">
        <v>19</v>
      </c>
      <c r="G23" s="2">
        <v>98</v>
      </c>
      <c r="H23" t="s">
        <v>1</v>
      </c>
    </row>
    <row r="24" spans="1:8" x14ac:dyDescent="0.2">
      <c r="A24" s="2">
        <v>24</v>
      </c>
      <c r="B24" t="s">
        <v>17</v>
      </c>
      <c r="C24" s="2">
        <v>49</v>
      </c>
      <c r="D24" t="s">
        <v>24</v>
      </c>
      <c r="E24" s="2">
        <v>74</v>
      </c>
      <c r="F24" t="s">
        <v>30</v>
      </c>
      <c r="G24" s="2">
        <v>99</v>
      </c>
      <c r="H24" t="s">
        <v>34</v>
      </c>
    </row>
    <row r="25" spans="1:8" x14ac:dyDescent="0.2">
      <c r="A25" s="2">
        <v>25</v>
      </c>
      <c r="B25" t="s">
        <v>18</v>
      </c>
      <c r="C25" s="2">
        <v>50</v>
      </c>
      <c r="D25" t="s">
        <v>0</v>
      </c>
      <c r="E25" s="2">
        <v>75</v>
      </c>
      <c r="F25" t="s">
        <v>11</v>
      </c>
      <c r="G25" s="2">
        <v>100</v>
      </c>
      <c r="H2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BC82-C391-3247-810F-C58CB5AD2CF5}">
  <dimension ref="A1:H56"/>
  <sheetViews>
    <sheetView topLeftCell="A24" workbookViewId="0">
      <selection activeCell="G56" sqref="G56"/>
    </sheetView>
  </sheetViews>
  <sheetFormatPr baseColWidth="10" defaultRowHeight="16" x14ac:dyDescent="0.2"/>
  <cols>
    <col min="1" max="1" width="3.5" style="4" bestFit="1" customWidth="1"/>
    <col min="2" max="2" width="32.83203125" bestFit="1" customWidth="1"/>
    <col min="3" max="3" width="3.5" style="4" bestFit="1" customWidth="1"/>
    <col min="4" max="4" width="32.83203125" bestFit="1" customWidth="1"/>
    <col min="5" max="5" width="3.5" style="4" bestFit="1" customWidth="1"/>
    <col min="6" max="6" width="32.83203125" bestFit="1" customWidth="1"/>
    <col min="7" max="7" width="8.1640625" style="4" bestFit="1" customWidth="1"/>
    <col min="8" max="8" width="32.83203125" bestFit="1" customWidth="1"/>
  </cols>
  <sheetData>
    <row r="1" spans="1:8" ht="17" x14ac:dyDescent="0.2">
      <c r="A1" s="3">
        <v>1</v>
      </c>
      <c r="B1" s="1" t="s">
        <v>0</v>
      </c>
      <c r="C1" s="3">
        <v>26</v>
      </c>
      <c r="D1" s="1" t="s">
        <v>1</v>
      </c>
      <c r="E1" s="3">
        <v>51</v>
      </c>
      <c r="F1" s="1" t="s">
        <v>11</v>
      </c>
      <c r="G1" s="3">
        <v>76</v>
      </c>
      <c r="H1" s="1" t="s">
        <v>0</v>
      </c>
    </row>
    <row r="2" spans="1:8" ht="17" x14ac:dyDescent="0.2">
      <c r="A2" s="3">
        <v>2</v>
      </c>
      <c r="B2" s="1" t="s">
        <v>3</v>
      </c>
      <c r="C2" s="3">
        <v>27</v>
      </c>
      <c r="D2" s="1" t="s">
        <v>40</v>
      </c>
      <c r="E2" s="3">
        <v>52</v>
      </c>
      <c r="F2" s="1" t="s">
        <v>35</v>
      </c>
      <c r="G2" s="3">
        <v>77</v>
      </c>
      <c r="H2" s="1" t="s">
        <v>18</v>
      </c>
    </row>
    <row r="3" spans="1:8" ht="17" x14ac:dyDescent="0.2">
      <c r="A3" s="3">
        <v>3</v>
      </c>
      <c r="B3" s="1" t="s">
        <v>0</v>
      </c>
      <c r="C3" s="3">
        <v>28</v>
      </c>
      <c r="D3" s="1" t="s">
        <v>6</v>
      </c>
      <c r="E3" s="3">
        <v>53</v>
      </c>
      <c r="F3" s="1" t="s">
        <v>40</v>
      </c>
      <c r="G3" s="3">
        <v>78</v>
      </c>
      <c r="H3" s="1" t="s">
        <v>19</v>
      </c>
    </row>
    <row r="4" spans="1:8" ht="17" x14ac:dyDescent="0.2">
      <c r="A4" s="3">
        <v>4</v>
      </c>
      <c r="B4" s="1" t="s">
        <v>0</v>
      </c>
      <c r="C4" s="3">
        <v>29</v>
      </c>
      <c r="D4" s="1" t="s">
        <v>39</v>
      </c>
      <c r="E4" s="3">
        <v>54</v>
      </c>
      <c r="F4" s="1" t="s">
        <v>11</v>
      </c>
      <c r="G4" s="3">
        <v>79</v>
      </c>
      <c r="H4" s="1" t="s">
        <v>36</v>
      </c>
    </row>
    <row r="5" spans="1:8" ht="17" x14ac:dyDescent="0.2">
      <c r="A5" s="3">
        <v>5</v>
      </c>
      <c r="B5" s="1" t="s">
        <v>0</v>
      </c>
      <c r="C5" s="3">
        <v>30</v>
      </c>
      <c r="D5" s="1" t="s">
        <v>1</v>
      </c>
      <c r="E5" s="3">
        <v>55</v>
      </c>
      <c r="F5" s="1" t="s">
        <v>10</v>
      </c>
      <c r="G5" s="3">
        <v>80</v>
      </c>
      <c r="H5" s="1" t="s">
        <v>10</v>
      </c>
    </row>
    <row r="6" spans="1:8" ht="17" x14ac:dyDescent="0.2">
      <c r="A6" s="3">
        <v>6</v>
      </c>
      <c r="B6" s="1" t="s">
        <v>5</v>
      </c>
      <c r="C6" s="3">
        <v>31</v>
      </c>
      <c r="D6" s="1" t="s">
        <v>32</v>
      </c>
      <c r="E6" s="3">
        <v>56</v>
      </c>
      <c r="F6" s="1" t="s">
        <v>7</v>
      </c>
      <c r="G6" s="3">
        <v>81</v>
      </c>
      <c r="H6" s="1" t="s">
        <v>10</v>
      </c>
    </row>
    <row r="7" spans="1:8" ht="17" x14ac:dyDescent="0.2">
      <c r="A7" s="3">
        <v>7</v>
      </c>
      <c r="B7" s="1" t="s">
        <v>15</v>
      </c>
      <c r="C7" s="3">
        <v>32</v>
      </c>
      <c r="D7" s="1" t="s">
        <v>20</v>
      </c>
      <c r="E7" s="3">
        <v>57</v>
      </c>
      <c r="F7" s="1" t="s">
        <v>43</v>
      </c>
      <c r="G7" s="3">
        <v>82</v>
      </c>
      <c r="H7" s="1" t="s">
        <v>20</v>
      </c>
    </row>
    <row r="8" spans="1:8" ht="17" x14ac:dyDescent="0.2">
      <c r="A8" s="3">
        <v>8</v>
      </c>
      <c r="B8" s="1" t="s">
        <v>19</v>
      </c>
      <c r="C8" s="3">
        <v>33</v>
      </c>
      <c r="D8" s="1" t="s">
        <v>1</v>
      </c>
      <c r="E8" s="3">
        <v>58</v>
      </c>
      <c r="F8" s="1" t="s">
        <v>0</v>
      </c>
      <c r="G8" s="3">
        <v>83</v>
      </c>
      <c r="H8" s="1" t="s">
        <v>13</v>
      </c>
    </row>
    <row r="9" spans="1:8" ht="17" x14ac:dyDescent="0.2">
      <c r="A9" s="3">
        <v>9</v>
      </c>
      <c r="B9" s="1" t="s">
        <v>7</v>
      </c>
      <c r="C9" s="3">
        <v>34</v>
      </c>
      <c r="D9" s="1" t="s">
        <v>6</v>
      </c>
      <c r="E9" s="3">
        <v>59</v>
      </c>
      <c r="F9" s="1" t="s">
        <v>19</v>
      </c>
      <c r="G9" s="3">
        <v>84</v>
      </c>
      <c r="H9" s="1" t="s">
        <v>19</v>
      </c>
    </row>
    <row r="10" spans="1:8" ht="17" x14ac:dyDescent="0.2">
      <c r="A10" s="3">
        <v>10</v>
      </c>
      <c r="B10" s="1" t="s">
        <v>10</v>
      </c>
      <c r="C10" s="3">
        <v>35</v>
      </c>
      <c r="D10" s="1" t="s">
        <v>14</v>
      </c>
      <c r="E10" s="3">
        <v>60</v>
      </c>
      <c r="F10" s="1" t="s">
        <v>44</v>
      </c>
      <c r="G10" s="3">
        <v>85</v>
      </c>
      <c r="H10" s="1" t="s">
        <v>6</v>
      </c>
    </row>
    <row r="11" spans="1:8" ht="17" x14ac:dyDescent="0.2">
      <c r="A11" s="3">
        <v>11</v>
      </c>
      <c r="B11" s="1" t="s">
        <v>37</v>
      </c>
      <c r="C11" s="3">
        <v>36</v>
      </c>
      <c r="D11" s="1" t="s">
        <v>10</v>
      </c>
      <c r="E11" s="3">
        <v>61</v>
      </c>
      <c r="F11" s="1" t="s">
        <v>0</v>
      </c>
      <c r="G11" s="3">
        <v>86</v>
      </c>
      <c r="H11" s="1" t="s">
        <v>0</v>
      </c>
    </row>
    <row r="12" spans="1:8" ht="17" x14ac:dyDescent="0.2">
      <c r="A12" s="3">
        <v>12</v>
      </c>
      <c r="B12" s="1" t="s">
        <v>38</v>
      </c>
      <c r="C12" s="3">
        <v>37</v>
      </c>
      <c r="D12" s="1" t="s">
        <v>13</v>
      </c>
      <c r="E12" s="3">
        <v>62</v>
      </c>
      <c r="F12" s="1" t="s">
        <v>43</v>
      </c>
      <c r="G12" s="3">
        <v>87</v>
      </c>
      <c r="H12" s="1" t="s">
        <v>49</v>
      </c>
    </row>
    <row r="13" spans="1:8" ht="17" x14ac:dyDescent="0.2">
      <c r="A13" s="3">
        <v>13</v>
      </c>
      <c r="B13" s="1" t="s">
        <v>0</v>
      </c>
      <c r="C13" s="3">
        <v>38</v>
      </c>
      <c r="D13" s="1" t="s">
        <v>0</v>
      </c>
      <c r="E13" s="3">
        <v>63</v>
      </c>
      <c r="F13" s="1" t="s">
        <v>45</v>
      </c>
      <c r="G13" s="3">
        <v>88</v>
      </c>
      <c r="H13" s="1" t="s">
        <v>1</v>
      </c>
    </row>
    <row r="14" spans="1:8" ht="17" x14ac:dyDescent="0.2">
      <c r="A14" s="3">
        <v>14</v>
      </c>
      <c r="B14" s="1" t="s">
        <v>10</v>
      </c>
      <c r="C14" s="3">
        <v>39</v>
      </c>
      <c r="D14" s="1" t="s">
        <v>11</v>
      </c>
      <c r="E14" s="3">
        <v>64</v>
      </c>
      <c r="F14" s="1" t="s">
        <v>46</v>
      </c>
      <c r="G14" s="3">
        <v>89</v>
      </c>
      <c r="H14" s="1" t="s">
        <v>10</v>
      </c>
    </row>
    <row r="15" spans="1:8" ht="17" x14ac:dyDescent="0.2">
      <c r="A15" s="3">
        <v>15</v>
      </c>
      <c r="B15" s="1" t="s">
        <v>19</v>
      </c>
      <c r="C15" s="3">
        <v>40</v>
      </c>
      <c r="D15" s="1" t="s">
        <v>11</v>
      </c>
      <c r="E15" s="3">
        <v>65</v>
      </c>
      <c r="F15" s="1" t="s">
        <v>16</v>
      </c>
      <c r="G15" s="3">
        <v>90</v>
      </c>
      <c r="H15" s="1" t="s">
        <v>36</v>
      </c>
    </row>
    <row r="16" spans="1:8" ht="17" x14ac:dyDescent="0.2">
      <c r="A16" s="3">
        <v>16</v>
      </c>
      <c r="B16" s="1" t="s">
        <v>36</v>
      </c>
      <c r="C16" s="3">
        <v>41</v>
      </c>
      <c r="D16" s="1" t="s">
        <v>14</v>
      </c>
      <c r="E16" s="3">
        <v>66</v>
      </c>
      <c r="F16" s="1" t="s">
        <v>1</v>
      </c>
      <c r="G16" s="3">
        <v>91</v>
      </c>
      <c r="H16" s="1" t="s">
        <v>16</v>
      </c>
    </row>
    <row r="17" spans="1:8" ht="17" x14ac:dyDescent="0.2">
      <c r="A17" s="3">
        <v>17</v>
      </c>
      <c r="B17" s="1" t="s">
        <v>6</v>
      </c>
      <c r="C17" s="3">
        <v>42</v>
      </c>
      <c r="D17" s="1" t="s">
        <v>41</v>
      </c>
      <c r="E17" s="3">
        <v>67</v>
      </c>
      <c r="F17" s="1" t="s">
        <v>45</v>
      </c>
      <c r="G17" s="3">
        <v>92</v>
      </c>
      <c r="H17" s="1" t="s">
        <v>3</v>
      </c>
    </row>
    <row r="18" spans="1:8" ht="17" x14ac:dyDescent="0.2">
      <c r="A18" s="3">
        <v>18</v>
      </c>
      <c r="B18" s="1" t="s">
        <v>19</v>
      </c>
      <c r="C18" s="3">
        <v>43</v>
      </c>
      <c r="D18" s="1" t="s">
        <v>11</v>
      </c>
      <c r="E18" s="3">
        <v>68</v>
      </c>
      <c r="F18" s="1" t="s">
        <v>20</v>
      </c>
      <c r="G18" s="3">
        <v>93</v>
      </c>
      <c r="H18" s="1" t="s">
        <v>50</v>
      </c>
    </row>
    <row r="19" spans="1:8" ht="17" x14ac:dyDescent="0.2">
      <c r="A19" s="3">
        <v>19</v>
      </c>
      <c r="B19" s="1" t="s">
        <v>19</v>
      </c>
      <c r="C19" s="3">
        <v>44</v>
      </c>
      <c r="D19" s="1" t="s">
        <v>5</v>
      </c>
      <c r="E19" s="3">
        <v>69</v>
      </c>
      <c r="F19" s="1" t="s">
        <v>7</v>
      </c>
      <c r="G19" s="3">
        <v>94</v>
      </c>
      <c r="H19" s="1" t="s">
        <v>1</v>
      </c>
    </row>
    <row r="20" spans="1:8" ht="17" x14ac:dyDescent="0.2">
      <c r="A20" s="3">
        <v>20</v>
      </c>
      <c r="B20" s="1" t="s">
        <v>1</v>
      </c>
      <c r="C20" s="3">
        <v>45</v>
      </c>
      <c r="D20" s="1" t="s">
        <v>42</v>
      </c>
      <c r="E20" s="3">
        <v>70</v>
      </c>
      <c r="F20" s="1" t="s">
        <v>47</v>
      </c>
      <c r="G20" s="3">
        <v>95</v>
      </c>
      <c r="H20" s="1" t="s">
        <v>7</v>
      </c>
    </row>
    <row r="21" spans="1:8" ht="17" x14ac:dyDescent="0.2">
      <c r="A21" s="3">
        <v>21</v>
      </c>
      <c r="B21" s="1" t="s">
        <v>6</v>
      </c>
      <c r="C21" s="3">
        <v>46</v>
      </c>
      <c r="D21" s="1" t="s">
        <v>1</v>
      </c>
      <c r="E21" s="3">
        <v>71</v>
      </c>
      <c r="F21" s="1" t="s">
        <v>48</v>
      </c>
      <c r="G21" s="3">
        <v>96</v>
      </c>
      <c r="H21" s="1" t="s">
        <v>0</v>
      </c>
    </row>
    <row r="22" spans="1:8" ht="17" x14ac:dyDescent="0.2">
      <c r="A22" s="3">
        <v>22</v>
      </c>
      <c r="B22" s="1" t="s">
        <v>39</v>
      </c>
      <c r="C22" s="3">
        <v>47</v>
      </c>
      <c r="D22" s="1" t="s">
        <v>15</v>
      </c>
      <c r="E22" s="3">
        <v>72</v>
      </c>
      <c r="F22" s="1" t="s">
        <v>15</v>
      </c>
      <c r="G22" s="3">
        <v>97</v>
      </c>
      <c r="H22" s="1" t="s">
        <v>8</v>
      </c>
    </row>
    <row r="23" spans="1:8" ht="17" x14ac:dyDescent="0.2">
      <c r="A23" s="3">
        <v>23</v>
      </c>
      <c r="B23" s="1" t="s">
        <v>5</v>
      </c>
      <c r="C23" s="3">
        <v>48</v>
      </c>
      <c r="D23" s="1" t="s">
        <v>10</v>
      </c>
      <c r="E23" s="3">
        <v>73</v>
      </c>
      <c r="F23" s="1" t="s">
        <v>6</v>
      </c>
      <c r="G23" s="3">
        <v>98</v>
      </c>
      <c r="H23" s="1" t="s">
        <v>6</v>
      </c>
    </row>
    <row r="24" spans="1:8" ht="17" x14ac:dyDescent="0.2">
      <c r="A24" s="3">
        <v>24</v>
      </c>
      <c r="B24" s="1" t="s">
        <v>11</v>
      </c>
      <c r="C24" s="3">
        <v>49</v>
      </c>
      <c r="D24" s="1" t="s">
        <v>19</v>
      </c>
      <c r="E24" s="3">
        <v>74</v>
      </c>
      <c r="F24" s="1" t="s">
        <v>6</v>
      </c>
      <c r="G24" s="3">
        <v>99</v>
      </c>
      <c r="H24" s="1" t="s">
        <v>14</v>
      </c>
    </row>
    <row r="25" spans="1:8" ht="17" x14ac:dyDescent="0.2">
      <c r="A25" s="3">
        <v>25</v>
      </c>
      <c r="B25" s="1" t="s">
        <v>11</v>
      </c>
      <c r="C25" s="3">
        <v>50</v>
      </c>
      <c r="D25" s="1" t="s">
        <v>21</v>
      </c>
      <c r="E25" s="3">
        <v>75</v>
      </c>
      <c r="F25" s="1" t="s">
        <v>7</v>
      </c>
      <c r="G25" s="3">
        <v>100</v>
      </c>
      <c r="H25" s="1" t="s">
        <v>1</v>
      </c>
    </row>
    <row r="29" spans="1:8" x14ac:dyDescent="0.2">
      <c r="B29" s="2" t="s">
        <v>74</v>
      </c>
    </row>
    <row r="30" spans="1:8" ht="17" x14ac:dyDescent="0.2">
      <c r="A30" s="3">
        <v>1</v>
      </c>
      <c r="B30" s="1">
        <v>1.35</v>
      </c>
      <c r="C30" s="3">
        <v>26</v>
      </c>
      <c r="D30" s="1">
        <v>1.36</v>
      </c>
      <c r="E30" s="3">
        <v>51</v>
      </c>
      <c r="F30" s="1">
        <v>1.34</v>
      </c>
      <c r="G30" s="3">
        <v>76</v>
      </c>
      <c r="H30" s="1">
        <v>1.35</v>
      </c>
    </row>
    <row r="31" spans="1:8" ht="17" x14ac:dyDescent="0.2">
      <c r="A31" s="3">
        <v>2</v>
      </c>
      <c r="B31" s="1">
        <v>1.41</v>
      </c>
      <c r="C31" s="3">
        <v>27</v>
      </c>
      <c r="D31" s="1">
        <v>1.36</v>
      </c>
      <c r="E31" s="3">
        <v>52</v>
      </c>
      <c r="F31" s="1">
        <v>1.4</v>
      </c>
      <c r="G31" s="3">
        <v>77</v>
      </c>
      <c r="H31" s="1">
        <v>1.37</v>
      </c>
    </row>
    <row r="32" spans="1:8" ht="17" x14ac:dyDescent="0.2">
      <c r="A32" s="3">
        <v>3</v>
      </c>
      <c r="B32" s="1">
        <v>1.35</v>
      </c>
      <c r="C32" s="3">
        <v>28</v>
      </c>
      <c r="D32" s="1">
        <v>1.35</v>
      </c>
      <c r="E32" s="3">
        <v>53</v>
      </c>
      <c r="F32" s="1">
        <v>1.36</v>
      </c>
      <c r="G32" s="3">
        <v>78</v>
      </c>
      <c r="H32" s="1">
        <v>1.34</v>
      </c>
    </row>
    <row r="33" spans="1:8" ht="17" x14ac:dyDescent="0.2">
      <c r="A33" s="3">
        <v>4</v>
      </c>
      <c r="B33" s="1">
        <v>1.35</v>
      </c>
      <c r="C33" s="3">
        <v>29</v>
      </c>
      <c r="D33" s="1">
        <v>1.39</v>
      </c>
      <c r="E33" s="3">
        <v>54</v>
      </c>
      <c r="F33" s="1">
        <v>1.34</v>
      </c>
      <c r="G33" s="3">
        <v>79</v>
      </c>
      <c r="H33" s="1">
        <v>1.33</v>
      </c>
    </row>
    <row r="34" spans="1:8" ht="17" x14ac:dyDescent="0.2">
      <c r="A34" s="3">
        <v>5</v>
      </c>
      <c r="B34" s="1">
        <v>1.35</v>
      </c>
      <c r="C34" s="3">
        <v>30</v>
      </c>
      <c r="D34" s="1">
        <v>1.36</v>
      </c>
      <c r="E34" s="3">
        <v>55</v>
      </c>
      <c r="F34" s="1">
        <v>1.33</v>
      </c>
      <c r="G34" s="3">
        <v>80</v>
      </c>
      <c r="H34" s="1">
        <v>1.33</v>
      </c>
    </row>
    <row r="35" spans="1:8" ht="17" x14ac:dyDescent="0.2">
      <c r="A35" s="3">
        <v>6</v>
      </c>
      <c r="B35" s="1">
        <v>1.36</v>
      </c>
      <c r="C35" s="3">
        <v>31</v>
      </c>
      <c r="D35" s="1">
        <v>1.34</v>
      </c>
      <c r="E35" s="3">
        <v>56</v>
      </c>
      <c r="F35" s="1">
        <v>1.33</v>
      </c>
      <c r="G35" s="3">
        <v>81</v>
      </c>
      <c r="H35" s="1">
        <v>1.33</v>
      </c>
    </row>
    <row r="36" spans="1:8" ht="17" x14ac:dyDescent="0.2">
      <c r="A36" s="3">
        <v>7</v>
      </c>
      <c r="B36" s="1">
        <v>1.38</v>
      </c>
      <c r="C36" s="3">
        <v>32</v>
      </c>
      <c r="D36" s="1">
        <v>1.39</v>
      </c>
      <c r="E36" s="3">
        <v>57</v>
      </c>
      <c r="F36" s="1">
        <v>1.39</v>
      </c>
      <c r="G36" s="3">
        <v>82</v>
      </c>
      <c r="H36" s="1">
        <v>1.39</v>
      </c>
    </row>
    <row r="37" spans="1:8" ht="17" x14ac:dyDescent="0.2">
      <c r="A37" s="3">
        <v>8</v>
      </c>
      <c r="B37" s="1">
        <v>1.34</v>
      </c>
      <c r="C37" s="3">
        <v>33</v>
      </c>
      <c r="D37" s="1">
        <v>1.36</v>
      </c>
      <c r="E37" s="3">
        <v>58</v>
      </c>
      <c r="F37" s="1">
        <v>1.35</v>
      </c>
      <c r="G37" s="3">
        <v>83</v>
      </c>
      <c r="H37" s="1">
        <v>1.37</v>
      </c>
    </row>
    <row r="38" spans="1:8" ht="17" x14ac:dyDescent="0.2">
      <c r="A38" s="3">
        <v>9</v>
      </c>
      <c r="B38" s="1">
        <v>1.33</v>
      </c>
      <c r="C38" s="3">
        <v>34</v>
      </c>
      <c r="D38" s="1">
        <v>1.35</v>
      </c>
      <c r="E38" s="3">
        <v>59</v>
      </c>
      <c r="F38" s="1">
        <v>1.34</v>
      </c>
      <c r="G38" s="3">
        <v>84</v>
      </c>
      <c r="H38" s="1">
        <v>1.34</v>
      </c>
    </row>
    <row r="39" spans="1:8" ht="17" x14ac:dyDescent="0.2">
      <c r="A39" s="3">
        <v>10</v>
      </c>
      <c r="B39" s="1">
        <v>1.33</v>
      </c>
      <c r="C39" s="3">
        <v>35</v>
      </c>
      <c r="D39" s="1">
        <v>1.32</v>
      </c>
      <c r="E39" s="3">
        <v>60</v>
      </c>
      <c r="F39" s="1">
        <v>1.52</v>
      </c>
      <c r="G39" s="3">
        <v>85</v>
      </c>
      <c r="H39" s="1">
        <v>1.35</v>
      </c>
    </row>
    <row r="40" spans="1:8" ht="17" x14ac:dyDescent="0.2">
      <c r="A40" s="3">
        <v>11</v>
      </c>
      <c r="B40" s="1">
        <v>2.27</v>
      </c>
      <c r="C40" s="3">
        <v>36</v>
      </c>
      <c r="D40" s="1">
        <v>1.33</v>
      </c>
      <c r="E40" s="3">
        <v>61</v>
      </c>
      <c r="F40" s="1">
        <v>1.35</v>
      </c>
      <c r="G40" s="3">
        <v>86</v>
      </c>
      <c r="H40" s="1">
        <v>1.35</v>
      </c>
    </row>
    <row r="41" spans="1:8" ht="17" x14ac:dyDescent="0.2">
      <c r="A41" s="3">
        <v>12</v>
      </c>
      <c r="B41" s="1">
        <v>1.38</v>
      </c>
      <c r="C41" s="3">
        <v>37</v>
      </c>
      <c r="D41" s="1">
        <v>1.37</v>
      </c>
      <c r="E41" s="3">
        <v>62</v>
      </c>
      <c r="F41" s="1">
        <v>1.39</v>
      </c>
      <c r="G41" s="3">
        <v>87</v>
      </c>
      <c r="H41" s="1">
        <v>1.37</v>
      </c>
    </row>
    <row r="42" spans="1:8" ht="17" x14ac:dyDescent="0.2">
      <c r="A42" s="3">
        <v>13</v>
      </c>
      <c r="B42" s="1">
        <v>1.35</v>
      </c>
      <c r="C42" s="3">
        <v>38</v>
      </c>
      <c r="D42" s="1">
        <v>1.35</v>
      </c>
      <c r="E42" s="3">
        <v>63</v>
      </c>
      <c r="F42" s="1">
        <v>1.37</v>
      </c>
      <c r="G42" s="3">
        <v>88</v>
      </c>
      <c r="H42" s="1">
        <v>1.36</v>
      </c>
    </row>
    <row r="43" spans="1:8" ht="17" x14ac:dyDescent="0.2">
      <c r="A43" s="3">
        <v>14</v>
      </c>
      <c r="B43" s="1">
        <v>1.33</v>
      </c>
      <c r="C43" s="3">
        <v>39</v>
      </c>
      <c r="D43" s="1">
        <v>1.34</v>
      </c>
      <c r="E43" s="3">
        <v>64</v>
      </c>
      <c r="F43" s="1">
        <v>1.46</v>
      </c>
      <c r="G43" s="3">
        <v>89</v>
      </c>
      <c r="H43" s="1">
        <v>1.33</v>
      </c>
    </row>
    <row r="44" spans="1:8" ht="17" x14ac:dyDescent="0.2">
      <c r="A44" s="3">
        <v>15</v>
      </c>
      <c r="B44" s="1">
        <v>1.34</v>
      </c>
      <c r="C44" s="3">
        <v>40</v>
      </c>
      <c r="D44" s="1">
        <v>1.34</v>
      </c>
      <c r="E44" s="3">
        <v>65</v>
      </c>
      <c r="F44" s="1">
        <v>1.32</v>
      </c>
      <c r="G44" s="3">
        <v>90</v>
      </c>
      <c r="H44" s="1">
        <v>1.33</v>
      </c>
    </row>
    <row r="45" spans="1:8" ht="17" x14ac:dyDescent="0.2">
      <c r="A45" s="3">
        <v>16</v>
      </c>
      <c r="B45" s="1">
        <v>1.33</v>
      </c>
      <c r="C45" s="3">
        <v>41</v>
      </c>
      <c r="D45" s="1">
        <v>1.32</v>
      </c>
      <c r="E45" s="3">
        <v>66</v>
      </c>
      <c r="F45" s="1">
        <v>1.36</v>
      </c>
      <c r="G45" s="3">
        <v>91</v>
      </c>
      <c r="H45" s="1">
        <v>1.32</v>
      </c>
    </row>
    <row r="46" spans="1:8" ht="17" x14ac:dyDescent="0.2">
      <c r="A46" s="3">
        <v>17</v>
      </c>
      <c r="B46" s="1">
        <v>1.35</v>
      </c>
      <c r="C46" s="3">
        <v>42</v>
      </c>
      <c r="D46" s="1">
        <v>1.4</v>
      </c>
      <c r="E46" s="3">
        <v>67</v>
      </c>
      <c r="F46" s="1">
        <v>1.37</v>
      </c>
      <c r="G46" s="3">
        <v>92</v>
      </c>
      <c r="H46" s="1">
        <v>1.41</v>
      </c>
    </row>
    <row r="47" spans="1:8" ht="17" x14ac:dyDescent="0.2">
      <c r="A47" s="3">
        <v>18</v>
      </c>
      <c r="B47" s="1">
        <v>1.34</v>
      </c>
      <c r="C47" s="3">
        <v>43</v>
      </c>
      <c r="D47" s="1">
        <v>1.34</v>
      </c>
      <c r="E47" s="3">
        <v>68</v>
      </c>
      <c r="F47" s="1">
        <v>1.39</v>
      </c>
      <c r="G47" s="3">
        <v>93</v>
      </c>
      <c r="H47" s="1">
        <v>1.37</v>
      </c>
    </row>
    <row r="48" spans="1:8" ht="17" x14ac:dyDescent="0.2">
      <c r="A48" s="3">
        <v>19</v>
      </c>
      <c r="B48" s="1">
        <v>1.34</v>
      </c>
      <c r="C48" s="3">
        <v>44</v>
      </c>
      <c r="D48" s="1">
        <v>1.36</v>
      </c>
      <c r="E48" s="3">
        <v>69</v>
      </c>
      <c r="F48" s="1">
        <v>1.33</v>
      </c>
      <c r="G48" s="3">
        <v>94</v>
      </c>
      <c r="H48" s="1">
        <v>1.36</v>
      </c>
    </row>
    <row r="49" spans="1:8" ht="17" x14ac:dyDescent="0.2">
      <c r="A49" s="3">
        <v>20</v>
      </c>
      <c r="B49" s="1">
        <v>1.36</v>
      </c>
      <c r="C49" s="3">
        <v>45</v>
      </c>
      <c r="D49" s="1">
        <v>1.33</v>
      </c>
      <c r="E49" s="3">
        <v>70</v>
      </c>
      <c r="F49" s="1">
        <v>2.8</v>
      </c>
      <c r="G49" s="3">
        <v>95</v>
      </c>
      <c r="H49" s="1">
        <v>1.33</v>
      </c>
    </row>
    <row r="50" spans="1:8" ht="17" x14ac:dyDescent="0.2">
      <c r="A50" s="3">
        <v>21</v>
      </c>
      <c r="B50" s="1">
        <v>1.35</v>
      </c>
      <c r="C50" s="3">
        <v>46</v>
      </c>
      <c r="D50" s="1">
        <v>1.36</v>
      </c>
      <c r="E50" s="3">
        <v>71</v>
      </c>
      <c r="F50" s="1">
        <v>1.53</v>
      </c>
      <c r="G50" s="3">
        <v>96</v>
      </c>
      <c r="H50" s="1">
        <v>1.35</v>
      </c>
    </row>
    <row r="51" spans="1:8" ht="17" x14ac:dyDescent="0.2">
      <c r="A51" s="3">
        <v>22</v>
      </c>
      <c r="B51" s="1">
        <v>1.39</v>
      </c>
      <c r="C51" s="3">
        <v>47</v>
      </c>
      <c r="D51" s="1">
        <v>1.38</v>
      </c>
      <c r="E51" s="3">
        <v>72</v>
      </c>
      <c r="F51" s="1">
        <v>1.38</v>
      </c>
      <c r="G51" s="3">
        <v>97</v>
      </c>
      <c r="H51" s="1">
        <v>1.39</v>
      </c>
    </row>
    <row r="52" spans="1:8" ht="17" x14ac:dyDescent="0.2">
      <c r="A52" s="3">
        <v>23</v>
      </c>
      <c r="B52" s="1">
        <v>1.36</v>
      </c>
      <c r="C52" s="3">
        <v>48</v>
      </c>
      <c r="D52" s="1">
        <v>1.33</v>
      </c>
      <c r="E52" s="3">
        <v>73</v>
      </c>
      <c r="F52" s="1">
        <v>1.35</v>
      </c>
      <c r="G52" s="3">
        <v>98</v>
      </c>
      <c r="H52" s="1">
        <v>1.35</v>
      </c>
    </row>
    <row r="53" spans="1:8" ht="17" x14ac:dyDescent="0.2">
      <c r="A53" s="3">
        <v>24</v>
      </c>
      <c r="B53" s="1">
        <v>1.34</v>
      </c>
      <c r="C53" s="3">
        <v>49</v>
      </c>
      <c r="D53" s="1">
        <v>1.34</v>
      </c>
      <c r="E53" s="3">
        <v>74</v>
      </c>
      <c r="F53" s="1">
        <v>1.35</v>
      </c>
      <c r="G53" s="3">
        <v>99</v>
      </c>
      <c r="H53" s="1">
        <v>1.32</v>
      </c>
    </row>
    <row r="54" spans="1:8" ht="17" x14ac:dyDescent="0.2">
      <c r="A54" s="3">
        <v>25</v>
      </c>
      <c r="B54" s="1">
        <v>1.34</v>
      </c>
      <c r="C54" s="3">
        <v>50</v>
      </c>
      <c r="D54" s="1">
        <v>1.33</v>
      </c>
      <c r="E54" s="3">
        <v>75</v>
      </c>
      <c r="F54" s="1">
        <v>1.33</v>
      </c>
      <c r="G54" s="3">
        <v>100</v>
      </c>
      <c r="H54" s="1">
        <v>1.36</v>
      </c>
    </row>
    <row r="56" spans="1:8" x14ac:dyDescent="0.2">
      <c r="F56" s="2" t="s">
        <v>55</v>
      </c>
      <c r="G56" s="8">
        <f>AVERAGE(B30:B54,D30:D54,F30:F54,H30:H54)</f>
        <v>1.3809999999999996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F3ED-456E-C340-8DE2-F683EABB3D6C}">
  <dimension ref="A1:H28"/>
  <sheetViews>
    <sheetView workbookViewId="0">
      <selection activeCell="I20" sqref="I20"/>
    </sheetView>
  </sheetViews>
  <sheetFormatPr baseColWidth="10" defaultRowHeight="16" x14ac:dyDescent="0.2"/>
  <cols>
    <col min="1" max="1" width="12.33203125" style="2" bestFit="1" customWidth="1"/>
    <col min="2" max="2" width="17.33203125" bestFit="1" customWidth="1"/>
    <col min="5" max="5" width="17.33203125" bestFit="1" customWidth="1"/>
    <col min="8" max="8" width="17.33203125" bestFit="1" customWidth="1"/>
  </cols>
  <sheetData>
    <row r="1" spans="1:8" x14ac:dyDescent="0.2">
      <c r="A1" s="2" t="s">
        <v>62</v>
      </c>
      <c r="B1" s="2"/>
      <c r="D1" s="2" t="s">
        <v>63</v>
      </c>
      <c r="E1" s="2"/>
      <c r="G1" s="2" t="s">
        <v>64</v>
      </c>
      <c r="H1" s="2"/>
    </row>
    <row r="2" spans="1:8" x14ac:dyDescent="0.2">
      <c r="A2" s="2" t="s">
        <v>51</v>
      </c>
      <c r="B2" s="2" t="s">
        <v>59</v>
      </c>
      <c r="D2" s="2" t="s">
        <v>51</v>
      </c>
      <c r="E2" s="2" t="s">
        <v>59</v>
      </c>
      <c r="G2" s="2" t="s">
        <v>51</v>
      </c>
      <c r="H2" s="2" t="s">
        <v>59</v>
      </c>
    </row>
    <row r="3" spans="1:8" x14ac:dyDescent="0.2">
      <c r="A3" s="2">
        <v>1</v>
      </c>
      <c r="B3" t="s">
        <v>60</v>
      </c>
      <c r="D3" s="2">
        <v>1</v>
      </c>
      <c r="E3" t="s">
        <v>60</v>
      </c>
      <c r="G3" s="2">
        <v>1</v>
      </c>
      <c r="H3" t="s">
        <v>60</v>
      </c>
    </row>
    <row r="4" spans="1:8" x14ac:dyDescent="0.2">
      <c r="A4" s="2">
        <v>2</v>
      </c>
      <c r="B4" t="s">
        <v>60</v>
      </c>
      <c r="D4" s="2">
        <v>2</v>
      </c>
      <c r="E4" t="s">
        <v>60</v>
      </c>
      <c r="G4" s="2">
        <v>2</v>
      </c>
      <c r="H4" t="s">
        <v>60</v>
      </c>
    </row>
    <row r="5" spans="1:8" x14ac:dyDescent="0.2">
      <c r="A5" s="2">
        <v>3</v>
      </c>
      <c r="B5" t="s">
        <v>60</v>
      </c>
      <c r="D5" s="2">
        <v>3</v>
      </c>
      <c r="E5" t="s">
        <v>60</v>
      </c>
      <c r="G5" s="2">
        <v>3</v>
      </c>
      <c r="H5" t="s">
        <v>60</v>
      </c>
    </row>
    <row r="6" spans="1:8" x14ac:dyDescent="0.2">
      <c r="A6" s="2">
        <v>4</v>
      </c>
      <c r="B6" t="s">
        <v>60</v>
      </c>
      <c r="D6" s="2">
        <v>4</v>
      </c>
      <c r="E6" t="s">
        <v>60</v>
      </c>
      <c r="G6" s="2">
        <v>4</v>
      </c>
      <c r="H6" t="s">
        <v>60</v>
      </c>
    </row>
    <row r="7" spans="1:8" x14ac:dyDescent="0.2">
      <c r="A7" s="2">
        <v>5</v>
      </c>
      <c r="B7" t="s">
        <v>60</v>
      </c>
      <c r="D7" s="2">
        <v>5</v>
      </c>
      <c r="E7" t="s">
        <v>60</v>
      </c>
      <c r="G7" s="2">
        <v>5</v>
      </c>
      <c r="H7" t="s">
        <v>60</v>
      </c>
    </row>
    <row r="8" spans="1:8" x14ac:dyDescent="0.2">
      <c r="A8" s="2">
        <v>6</v>
      </c>
      <c r="B8" t="s">
        <v>60</v>
      </c>
      <c r="D8" s="2">
        <v>6</v>
      </c>
      <c r="E8" t="s">
        <v>60</v>
      </c>
      <c r="G8" s="2">
        <v>6</v>
      </c>
      <c r="H8" t="s">
        <v>60</v>
      </c>
    </row>
    <row r="9" spans="1:8" x14ac:dyDescent="0.2">
      <c r="A9" s="2">
        <v>7</v>
      </c>
      <c r="B9" t="s">
        <v>60</v>
      </c>
      <c r="D9" s="2">
        <v>7</v>
      </c>
      <c r="E9" t="s">
        <v>60</v>
      </c>
      <c r="G9" s="2">
        <v>7</v>
      </c>
      <c r="H9" t="s">
        <v>60</v>
      </c>
    </row>
    <row r="10" spans="1:8" x14ac:dyDescent="0.2">
      <c r="A10" s="2">
        <v>8</v>
      </c>
      <c r="B10" t="s">
        <v>60</v>
      </c>
      <c r="D10" s="2">
        <v>8</v>
      </c>
      <c r="E10" t="s">
        <v>60</v>
      </c>
      <c r="G10" s="2">
        <v>8</v>
      </c>
      <c r="H10" t="s">
        <v>60</v>
      </c>
    </row>
    <row r="11" spans="1:8" x14ac:dyDescent="0.2">
      <c r="A11" s="2">
        <v>9</v>
      </c>
      <c r="B11" t="s">
        <v>60</v>
      </c>
      <c r="D11" s="2">
        <v>9</v>
      </c>
      <c r="E11" t="s">
        <v>60</v>
      </c>
      <c r="G11" s="2">
        <v>9</v>
      </c>
      <c r="H11" t="s">
        <v>60</v>
      </c>
    </row>
    <row r="12" spans="1:8" x14ac:dyDescent="0.2">
      <c r="A12" s="2">
        <v>10</v>
      </c>
      <c r="B12" t="s">
        <v>60</v>
      </c>
      <c r="D12" s="2">
        <v>10</v>
      </c>
      <c r="E12" t="s">
        <v>60</v>
      </c>
      <c r="G12" s="2">
        <v>10</v>
      </c>
      <c r="H12" t="s">
        <v>60</v>
      </c>
    </row>
    <row r="13" spans="1:8" x14ac:dyDescent="0.2">
      <c r="A13" s="2">
        <v>11</v>
      </c>
      <c r="B13" t="s">
        <v>60</v>
      </c>
      <c r="D13" s="2">
        <v>11</v>
      </c>
      <c r="E13" t="s">
        <v>60</v>
      </c>
      <c r="G13" s="2">
        <v>11</v>
      </c>
      <c r="H13" t="s">
        <v>60</v>
      </c>
    </row>
    <row r="14" spans="1:8" x14ac:dyDescent="0.2">
      <c r="A14" s="2">
        <v>12</v>
      </c>
      <c r="B14" t="s">
        <v>60</v>
      </c>
      <c r="D14" s="2">
        <v>12</v>
      </c>
      <c r="E14" t="s">
        <v>60</v>
      </c>
      <c r="G14" s="2">
        <v>12</v>
      </c>
      <c r="H14" t="s">
        <v>60</v>
      </c>
    </row>
    <row r="15" spans="1:8" x14ac:dyDescent="0.2">
      <c r="A15" s="2">
        <v>13</v>
      </c>
      <c r="B15" t="s">
        <v>60</v>
      </c>
      <c r="D15" s="2">
        <v>13</v>
      </c>
      <c r="E15" t="s">
        <v>60</v>
      </c>
      <c r="G15" s="2">
        <v>13</v>
      </c>
      <c r="H15" t="s">
        <v>60</v>
      </c>
    </row>
    <row r="16" spans="1:8" x14ac:dyDescent="0.2">
      <c r="A16" s="2">
        <v>14</v>
      </c>
      <c r="B16" t="s">
        <v>60</v>
      </c>
      <c r="D16" s="2">
        <v>14</v>
      </c>
      <c r="E16" t="s">
        <v>60</v>
      </c>
      <c r="G16" s="2">
        <v>14</v>
      </c>
      <c r="H16" t="s">
        <v>60</v>
      </c>
    </row>
    <row r="17" spans="1:8" x14ac:dyDescent="0.2">
      <c r="A17" s="2">
        <v>15</v>
      </c>
      <c r="B17" t="s">
        <v>60</v>
      </c>
      <c r="D17" s="2">
        <v>15</v>
      </c>
      <c r="E17" t="s">
        <v>60</v>
      </c>
      <c r="G17" s="2">
        <v>15</v>
      </c>
      <c r="H17" t="s">
        <v>60</v>
      </c>
    </row>
    <row r="18" spans="1:8" x14ac:dyDescent="0.2">
      <c r="A18" s="2">
        <v>16</v>
      </c>
      <c r="B18" t="s">
        <v>60</v>
      </c>
      <c r="D18" s="2">
        <v>16</v>
      </c>
      <c r="E18" t="s">
        <v>60</v>
      </c>
      <c r="G18" s="2">
        <v>16</v>
      </c>
      <c r="H18" t="s">
        <v>60</v>
      </c>
    </row>
    <row r="19" spans="1:8" x14ac:dyDescent="0.2">
      <c r="A19" s="2">
        <v>17</v>
      </c>
      <c r="B19" t="s">
        <v>60</v>
      </c>
      <c r="D19" s="2">
        <v>17</v>
      </c>
      <c r="E19" t="s">
        <v>60</v>
      </c>
      <c r="G19" s="2">
        <v>17</v>
      </c>
      <c r="H19" t="s">
        <v>60</v>
      </c>
    </row>
    <row r="20" spans="1:8" x14ac:dyDescent="0.2">
      <c r="A20" s="2">
        <v>18</v>
      </c>
      <c r="B20" t="s">
        <v>60</v>
      </c>
      <c r="D20" s="2">
        <v>18</v>
      </c>
      <c r="E20" t="s">
        <v>60</v>
      </c>
      <c r="G20" s="2">
        <v>18</v>
      </c>
      <c r="H20" t="s">
        <v>60</v>
      </c>
    </row>
    <row r="21" spans="1:8" x14ac:dyDescent="0.2">
      <c r="A21" s="2">
        <v>19</v>
      </c>
      <c r="B21" t="s">
        <v>60</v>
      </c>
      <c r="D21" s="2">
        <v>19</v>
      </c>
      <c r="E21" t="s">
        <v>60</v>
      </c>
      <c r="G21" s="2">
        <v>19</v>
      </c>
      <c r="H21" t="s">
        <v>60</v>
      </c>
    </row>
    <row r="22" spans="1:8" x14ac:dyDescent="0.2">
      <c r="A22" s="2">
        <v>20</v>
      </c>
      <c r="B22" t="s">
        <v>60</v>
      </c>
      <c r="D22" s="2">
        <v>20</v>
      </c>
      <c r="E22" t="s">
        <v>60</v>
      </c>
      <c r="G22" s="2">
        <v>20</v>
      </c>
      <c r="H22" t="s">
        <v>60</v>
      </c>
    </row>
    <row r="23" spans="1:8" x14ac:dyDescent="0.2">
      <c r="D23" s="2"/>
      <c r="G23" s="2"/>
    </row>
    <row r="24" spans="1:8" x14ac:dyDescent="0.2">
      <c r="A24" s="2" t="s">
        <v>61</v>
      </c>
      <c r="B24" s="5">
        <v>1</v>
      </c>
      <c r="D24" s="2" t="s">
        <v>61</v>
      </c>
      <c r="E24" s="5">
        <v>1</v>
      </c>
      <c r="G24" s="2" t="s">
        <v>61</v>
      </c>
      <c r="H24" s="5">
        <v>1</v>
      </c>
    </row>
    <row r="26" spans="1:8" x14ac:dyDescent="0.2">
      <c r="A26" s="2" t="s">
        <v>65</v>
      </c>
    </row>
    <row r="28" spans="1:8" x14ac:dyDescent="0.2">
      <c r="A28" s="2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6690-7027-C743-B2DC-4735C71CC50D}">
  <dimension ref="A2:F1018"/>
  <sheetViews>
    <sheetView zoomScale="75" zoomScaleNormal="150" workbookViewId="0">
      <selection activeCell="K35" sqref="K35"/>
    </sheetView>
  </sheetViews>
  <sheetFormatPr baseColWidth="10" defaultRowHeight="16" x14ac:dyDescent="0.2"/>
  <cols>
    <col min="2" max="2" width="34.33203125" bestFit="1" customWidth="1"/>
    <col min="3" max="3" width="34.5" bestFit="1" customWidth="1"/>
    <col min="5" max="5" width="13" bestFit="1" customWidth="1"/>
  </cols>
  <sheetData>
    <row r="2" spans="1:6" x14ac:dyDescent="0.2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73</v>
      </c>
    </row>
    <row r="3" spans="1:6" x14ac:dyDescent="0.2">
      <c r="A3" s="2">
        <v>1</v>
      </c>
      <c r="B3" s="6">
        <v>31.239471000000002</v>
      </c>
      <c r="C3" s="6">
        <v>31.241897999999999</v>
      </c>
      <c r="D3">
        <f>C3-B3</f>
        <v>2.4269999999972924E-3</v>
      </c>
      <c r="E3">
        <f>D3*1000</f>
        <v>2.4269999999972924</v>
      </c>
      <c r="F3">
        <f>AVERAGE($E$3:E3)</f>
        <v>2.4269999999972924</v>
      </c>
    </row>
    <row r="4" spans="1:6" x14ac:dyDescent="0.2">
      <c r="A4" s="2">
        <v>2</v>
      </c>
      <c r="B4" s="6">
        <v>31.257178</v>
      </c>
      <c r="C4" s="6">
        <v>31.258486999999999</v>
      </c>
      <c r="D4">
        <f t="shared" ref="D4:D67" si="0">C4-B4</f>
        <v>1.3089999999991164E-3</v>
      </c>
      <c r="E4">
        <f t="shared" ref="E4:E67" si="1">D4*1000</f>
        <v>1.3089999999991164</v>
      </c>
      <c r="F4">
        <f>AVERAGE($E$3:E4)</f>
        <v>1.8679999999982044</v>
      </c>
    </row>
    <row r="5" spans="1:6" x14ac:dyDescent="0.2">
      <c r="A5" s="2">
        <v>3</v>
      </c>
      <c r="B5" s="6">
        <v>31.272590000000001</v>
      </c>
      <c r="C5" s="6">
        <v>31.278576000000001</v>
      </c>
      <c r="D5">
        <f t="shared" si="0"/>
        <v>5.9860000000000468E-3</v>
      </c>
      <c r="E5">
        <f t="shared" si="1"/>
        <v>5.9860000000000468</v>
      </c>
      <c r="F5">
        <f>AVERAGE($E$3:E5)</f>
        <v>3.2406666666654851</v>
      </c>
    </row>
    <row r="6" spans="1:6" x14ac:dyDescent="0.2">
      <c r="A6" s="2">
        <v>4</v>
      </c>
      <c r="B6" s="6">
        <v>31.287004</v>
      </c>
      <c r="C6" s="6">
        <v>31.298712999999999</v>
      </c>
      <c r="D6">
        <f t="shared" si="0"/>
        <v>1.1708999999999747E-2</v>
      </c>
      <c r="E6">
        <f t="shared" si="1"/>
        <v>11.708999999999747</v>
      </c>
      <c r="F6">
        <f>AVERAGE($E$3:E6)</f>
        <v>5.3577499999990508</v>
      </c>
    </row>
    <row r="7" spans="1:6" x14ac:dyDescent="0.2">
      <c r="A7" s="2">
        <v>5</v>
      </c>
      <c r="B7" s="6">
        <v>31.318152000000001</v>
      </c>
      <c r="C7" s="6">
        <v>31.318925</v>
      </c>
      <c r="D7">
        <f t="shared" si="0"/>
        <v>7.7299999999880242E-4</v>
      </c>
      <c r="E7">
        <f t="shared" si="1"/>
        <v>0.77299999999880242</v>
      </c>
      <c r="F7">
        <f>AVERAGE($E$3:E7)</f>
        <v>4.4407999999990011</v>
      </c>
    </row>
    <row r="8" spans="1:6" x14ac:dyDescent="0.2">
      <c r="A8" s="2">
        <v>6</v>
      </c>
      <c r="B8" s="6">
        <v>31.334040999999999</v>
      </c>
      <c r="C8" s="6">
        <v>31.338602999999999</v>
      </c>
      <c r="D8">
        <f t="shared" si="0"/>
        <v>4.561999999999955E-3</v>
      </c>
      <c r="E8">
        <f t="shared" si="1"/>
        <v>4.561999999999955</v>
      </c>
      <c r="F8">
        <f>AVERAGE($E$3:E8)</f>
        <v>4.4609999999991601</v>
      </c>
    </row>
    <row r="9" spans="1:6" x14ac:dyDescent="0.2">
      <c r="A9" s="2">
        <v>7</v>
      </c>
      <c r="B9" s="6">
        <v>31.350380999999999</v>
      </c>
      <c r="C9" s="6">
        <v>31.355270000000001</v>
      </c>
      <c r="D9">
        <f t="shared" si="0"/>
        <v>4.8890000000021416E-3</v>
      </c>
      <c r="E9">
        <f t="shared" si="1"/>
        <v>4.8890000000021416</v>
      </c>
      <c r="F9">
        <f>AVERAGE($E$3:E9)</f>
        <v>4.5221428571424429</v>
      </c>
    </row>
    <row r="10" spans="1:6" x14ac:dyDescent="0.2">
      <c r="A10" s="2">
        <v>8</v>
      </c>
      <c r="B10" s="6">
        <v>31.367321</v>
      </c>
      <c r="C10" s="6">
        <v>31.372322</v>
      </c>
      <c r="D10">
        <f t="shared" si="0"/>
        <v>5.0010000000000332E-3</v>
      </c>
      <c r="E10">
        <f t="shared" si="1"/>
        <v>5.0010000000000332</v>
      </c>
      <c r="F10">
        <f>AVERAGE($E$3:E10)</f>
        <v>4.5819999999996419</v>
      </c>
    </row>
    <row r="11" spans="1:6" x14ac:dyDescent="0.2">
      <c r="A11" s="2">
        <v>9</v>
      </c>
      <c r="B11" s="6">
        <v>31.384205999999999</v>
      </c>
      <c r="C11" s="6">
        <v>31.388779</v>
      </c>
      <c r="D11">
        <f t="shared" si="0"/>
        <v>4.5730000000006044E-3</v>
      </c>
      <c r="E11">
        <f t="shared" si="1"/>
        <v>4.5730000000006044</v>
      </c>
      <c r="F11">
        <f>AVERAGE($E$3:E11)</f>
        <v>4.5809999999997491</v>
      </c>
    </row>
    <row r="12" spans="1:6" x14ac:dyDescent="0.2">
      <c r="A12" s="2">
        <v>10</v>
      </c>
      <c r="B12" s="6">
        <v>31.401156</v>
      </c>
      <c r="C12" s="6">
        <v>31.405334</v>
      </c>
      <c r="D12">
        <f t="shared" si="0"/>
        <v>4.1779999999995709E-3</v>
      </c>
      <c r="E12">
        <f t="shared" si="1"/>
        <v>4.1779999999995709</v>
      </c>
      <c r="F12">
        <f>AVERAGE($E$3:E12)</f>
        <v>4.5406999999997311</v>
      </c>
    </row>
    <row r="13" spans="1:6" x14ac:dyDescent="0.2">
      <c r="A13" s="2">
        <v>11</v>
      </c>
      <c r="B13" s="6">
        <v>31.417079000000001</v>
      </c>
      <c r="C13" s="6">
        <v>31.422318000000001</v>
      </c>
      <c r="D13">
        <f t="shared" si="0"/>
        <v>5.2389999999995496E-3</v>
      </c>
      <c r="E13">
        <f t="shared" si="1"/>
        <v>5.2389999999995496</v>
      </c>
      <c r="F13">
        <f>AVERAGE($E$3:E13)</f>
        <v>4.6041818181815328</v>
      </c>
    </row>
    <row r="14" spans="1:6" x14ac:dyDescent="0.2">
      <c r="A14" s="2">
        <v>12</v>
      </c>
      <c r="B14" s="6">
        <v>31.432932999999998</v>
      </c>
      <c r="C14" s="6">
        <v>31.439139999999998</v>
      </c>
      <c r="D14">
        <f t="shared" si="0"/>
        <v>6.2069999999998515E-3</v>
      </c>
      <c r="E14">
        <f t="shared" si="1"/>
        <v>6.2069999999998515</v>
      </c>
      <c r="F14">
        <f>AVERAGE($E$3:E14)</f>
        <v>4.7377499999997257</v>
      </c>
    </row>
    <row r="15" spans="1:6" x14ac:dyDescent="0.2">
      <c r="A15" s="2">
        <v>13</v>
      </c>
      <c r="B15" s="6">
        <v>31.449518999999999</v>
      </c>
      <c r="C15" s="6">
        <v>31.456346</v>
      </c>
      <c r="D15">
        <f t="shared" si="0"/>
        <v>6.8270000000012487E-3</v>
      </c>
      <c r="E15">
        <f t="shared" si="1"/>
        <v>6.8270000000012487</v>
      </c>
      <c r="F15">
        <f>AVERAGE($E$3:E15)</f>
        <v>4.8984615384613814</v>
      </c>
    </row>
    <row r="16" spans="1:6" x14ac:dyDescent="0.2">
      <c r="A16" s="2">
        <v>14</v>
      </c>
      <c r="B16" s="6">
        <v>31.466301000000001</v>
      </c>
      <c r="C16" s="6">
        <v>31.474236000000001</v>
      </c>
      <c r="D16">
        <f t="shared" si="0"/>
        <v>7.9349999999998033E-3</v>
      </c>
      <c r="E16">
        <f t="shared" si="1"/>
        <v>7.9349999999998033</v>
      </c>
      <c r="F16">
        <f>AVERAGE($E$3:E16)</f>
        <v>5.1153571428569835</v>
      </c>
    </row>
    <row r="17" spans="1:6" x14ac:dyDescent="0.2">
      <c r="A17" s="2">
        <v>15</v>
      </c>
      <c r="B17" s="6">
        <v>31.482982</v>
      </c>
      <c r="C17" s="6">
        <v>31.49353</v>
      </c>
      <c r="D17">
        <f t="shared" si="0"/>
        <v>1.0548000000000002E-2</v>
      </c>
      <c r="E17">
        <f t="shared" si="1"/>
        <v>10.548000000000002</v>
      </c>
      <c r="F17">
        <f>AVERAGE($E$3:E17)</f>
        <v>5.4775333333331844</v>
      </c>
    </row>
    <row r="18" spans="1:6" x14ac:dyDescent="0.2">
      <c r="A18" s="2">
        <v>16</v>
      </c>
      <c r="B18" s="6">
        <v>31.499946000000001</v>
      </c>
      <c r="C18" s="6">
        <v>31.511267</v>
      </c>
      <c r="D18">
        <f t="shared" si="0"/>
        <v>1.1320999999998804E-2</v>
      </c>
      <c r="E18">
        <f t="shared" si="1"/>
        <v>11.320999999998804</v>
      </c>
      <c r="F18">
        <f>AVERAGE($E$3:E18)</f>
        <v>5.8427499999997856</v>
      </c>
    </row>
    <row r="19" spans="1:6" x14ac:dyDescent="0.2">
      <c r="A19" s="2">
        <v>17</v>
      </c>
      <c r="B19" s="6">
        <v>31.517357000000001</v>
      </c>
      <c r="C19" s="6">
        <v>31.527388999999999</v>
      </c>
      <c r="D19">
        <f t="shared" si="0"/>
        <v>1.0031999999998931E-2</v>
      </c>
      <c r="E19">
        <f t="shared" si="1"/>
        <v>10.031999999998931</v>
      </c>
      <c r="F19">
        <f>AVERAGE($E$3:E19)</f>
        <v>6.0891764705879705</v>
      </c>
    </row>
    <row r="20" spans="1:6" x14ac:dyDescent="0.2">
      <c r="A20" s="2">
        <v>18</v>
      </c>
      <c r="B20" s="6">
        <v>31.534571</v>
      </c>
      <c r="C20" s="6">
        <v>31.545953000000001</v>
      </c>
      <c r="D20">
        <f t="shared" si="0"/>
        <v>1.1382000000001113E-2</v>
      </c>
      <c r="E20">
        <f t="shared" si="1"/>
        <v>11.382000000001113</v>
      </c>
      <c r="F20">
        <f>AVERAGE($E$3:E20)</f>
        <v>6.3832222222220345</v>
      </c>
    </row>
    <row r="21" spans="1:6" x14ac:dyDescent="0.2">
      <c r="A21" s="2">
        <v>19</v>
      </c>
      <c r="B21" s="6">
        <v>31.550788000000001</v>
      </c>
      <c r="C21" s="6">
        <v>31.563434999999998</v>
      </c>
      <c r="D21">
        <f t="shared" si="0"/>
        <v>1.2646999999997632E-2</v>
      </c>
      <c r="E21">
        <f t="shared" si="1"/>
        <v>12.646999999997632</v>
      </c>
      <c r="F21">
        <f>AVERAGE($E$3:E21)</f>
        <v>6.7128947368418022</v>
      </c>
    </row>
    <row r="22" spans="1:6" x14ac:dyDescent="0.2">
      <c r="A22" s="2">
        <v>20</v>
      </c>
      <c r="B22" s="6">
        <v>31.568275</v>
      </c>
      <c r="C22" s="6">
        <v>31.580006000000001</v>
      </c>
      <c r="D22">
        <f t="shared" si="0"/>
        <v>1.1731000000001046E-2</v>
      </c>
      <c r="E22">
        <f t="shared" si="1"/>
        <v>11.731000000001046</v>
      </c>
      <c r="F22">
        <f>AVERAGE($E$3:E22)</f>
        <v>6.9637999999997646</v>
      </c>
    </row>
    <row r="23" spans="1:6" x14ac:dyDescent="0.2">
      <c r="A23" s="2">
        <v>21</v>
      </c>
      <c r="B23" s="6">
        <v>31.585063000000002</v>
      </c>
      <c r="C23" s="6">
        <v>31.598081000000001</v>
      </c>
      <c r="D23">
        <f t="shared" si="0"/>
        <v>1.3017999999998864E-2</v>
      </c>
      <c r="E23">
        <f t="shared" si="1"/>
        <v>13.017999999998864</v>
      </c>
      <c r="F23">
        <f>AVERAGE($E$3:E23)</f>
        <v>7.2520952380949595</v>
      </c>
    </row>
    <row r="24" spans="1:6" x14ac:dyDescent="0.2">
      <c r="A24" s="2">
        <v>22</v>
      </c>
      <c r="B24" s="6">
        <v>31.618048999999999</v>
      </c>
      <c r="C24" s="6">
        <v>31.618279000000001</v>
      </c>
      <c r="D24">
        <f t="shared" si="0"/>
        <v>2.3000000000195087E-4</v>
      </c>
      <c r="E24">
        <f t="shared" si="1"/>
        <v>0.23000000000195087</v>
      </c>
      <c r="F24">
        <f>AVERAGE($E$3:E24)</f>
        <v>6.9329090909089137</v>
      </c>
    </row>
    <row r="25" spans="1:6" x14ac:dyDescent="0.2">
      <c r="A25" s="2">
        <v>23</v>
      </c>
      <c r="B25" s="6">
        <v>31.634017</v>
      </c>
      <c r="C25" s="6">
        <v>31.637798</v>
      </c>
      <c r="D25">
        <f t="shared" si="0"/>
        <v>3.7810000000000343E-3</v>
      </c>
      <c r="E25">
        <f t="shared" si="1"/>
        <v>3.7810000000000343</v>
      </c>
      <c r="F25">
        <f>AVERAGE($E$3:E25)</f>
        <v>6.7958695652172239</v>
      </c>
    </row>
    <row r="26" spans="1:6" x14ac:dyDescent="0.2">
      <c r="A26" s="2">
        <v>24</v>
      </c>
      <c r="B26" s="6">
        <v>31.652557999999999</v>
      </c>
      <c r="C26" s="6">
        <v>31.663791</v>
      </c>
      <c r="D26">
        <f t="shared" si="0"/>
        <v>1.1233000000000715E-2</v>
      </c>
      <c r="E26">
        <f t="shared" si="1"/>
        <v>11.233000000000715</v>
      </c>
      <c r="F26">
        <f>AVERAGE($E$3:E26)</f>
        <v>6.980749999999869</v>
      </c>
    </row>
    <row r="27" spans="1:6" x14ac:dyDescent="0.2">
      <c r="A27" s="2">
        <v>25</v>
      </c>
      <c r="B27" s="6">
        <v>31.668234000000002</v>
      </c>
      <c r="C27" s="6">
        <v>31.680402000000001</v>
      </c>
      <c r="D27">
        <f t="shared" si="0"/>
        <v>1.2167999999999068E-2</v>
      </c>
      <c r="E27">
        <f t="shared" si="1"/>
        <v>12.167999999999068</v>
      </c>
      <c r="F27">
        <f>AVERAGE($E$3:E27)</f>
        <v>7.188239999999837</v>
      </c>
    </row>
    <row r="28" spans="1:6" x14ac:dyDescent="0.2">
      <c r="A28" s="2">
        <v>26</v>
      </c>
      <c r="B28" s="6">
        <v>31.684984</v>
      </c>
      <c r="C28" s="6">
        <v>31.69708</v>
      </c>
      <c r="D28">
        <f t="shared" si="0"/>
        <v>1.2095999999999663E-2</v>
      </c>
      <c r="E28">
        <f t="shared" si="1"/>
        <v>12.095999999999663</v>
      </c>
      <c r="F28">
        <f>AVERAGE($E$3:E28)</f>
        <v>7.3769999999998301</v>
      </c>
    </row>
    <row r="29" spans="1:6" x14ac:dyDescent="0.2">
      <c r="A29" s="2">
        <v>27</v>
      </c>
      <c r="B29" s="6">
        <v>31.700841</v>
      </c>
      <c r="C29" s="6">
        <v>31.716252999999998</v>
      </c>
      <c r="D29">
        <f t="shared" si="0"/>
        <v>1.5411999999997761E-2</v>
      </c>
      <c r="E29">
        <f t="shared" si="1"/>
        <v>15.411999999997761</v>
      </c>
      <c r="F29">
        <f>AVERAGE($E$3:E29)</f>
        <v>7.6745925925923464</v>
      </c>
    </row>
    <row r="30" spans="1:6" x14ac:dyDescent="0.2">
      <c r="A30" s="2">
        <v>28</v>
      </c>
      <c r="B30" s="6">
        <v>31.733350000000002</v>
      </c>
      <c r="C30" s="6">
        <v>31.735042</v>
      </c>
      <c r="D30">
        <f t="shared" si="0"/>
        <v>1.6919999999984725E-3</v>
      </c>
      <c r="E30">
        <f t="shared" si="1"/>
        <v>1.6919999999984725</v>
      </c>
      <c r="F30">
        <f>AVERAGE($E$3:E30)</f>
        <v>7.4609285714282789</v>
      </c>
    </row>
    <row r="31" spans="1:6" x14ac:dyDescent="0.2">
      <c r="A31" s="2">
        <v>29</v>
      </c>
      <c r="B31" s="6">
        <v>31.765096</v>
      </c>
      <c r="C31" s="6">
        <v>31.765844000000001</v>
      </c>
      <c r="D31">
        <f t="shared" si="0"/>
        <v>7.4800000000152522E-4</v>
      </c>
      <c r="E31">
        <f t="shared" si="1"/>
        <v>0.74800000000152522</v>
      </c>
      <c r="F31">
        <f>AVERAGE($E$3:E31)</f>
        <v>7.2294482758618397</v>
      </c>
    </row>
    <row r="32" spans="1:6" x14ac:dyDescent="0.2">
      <c r="A32" s="2">
        <v>30</v>
      </c>
      <c r="B32" s="6">
        <v>31.783083000000001</v>
      </c>
      <c r="C32" s="6">
        <v>31.784351999999998</v>
      </c>
      <c r="D32">
        <f t="shared" si="0"/>
        <v>1.268999999997078E-3</v>
      </c>
      <c r="E32">
        <f t="shared" si="1"/>
        <v>1.268999999997078</v>
      </c>
      <c r="F32">
        <f>AVERAGE($E$3:E32)</f>
        <v>7.0307666666663478</v>
      </c>
    </row>
    <row r="33" spans="1:6" x14ac:dyDescent="0.2">
      <c r="A33" s="2">
        <v>31</v>
      </c>
      <c r="B33" s="6">
        <v>31.812712000000001</v>
      </c>
      <c r="C33" s="6">
        <v>31.813528999999999</v>
      </c>
      <c r="D33">
        <f t="shared" si="0"/>
        <v>8.1699999999784723E-4</v>
      </c>
      <c r="E33">
        <f t="shared" si="1"/>
        <v>0.81699999999784723</v>
      </c>
      <c r="F33">
        <f>AVERAGE($E$3:E33)</f>
        <v>6.8303225806447827</v>
      </c>
    </row>
    <row r="34" spans="1:6" x14ac:dyDescent="0.2">
      <c r="A34" s="2">
        <v>32</v>
      </c>
      <c r="B34" s="6">
        <v>31.830006000000001</v>
      </c>
      <c r="C34" s="6">
        <v>31.830271</v>
      </c>
      <c r="D34">
        <f t="shared" si="0"/>
        <v>2.6499999999884949E-4</v>
      </c>
      <c r="E34">
        <f t="shared" si="1"/>
        <v>0.26499999999884949</v>
      </c>
      <c r="F34">
        <f>AVERAGE($E$3:E34)</f>
        <v>6.6251562499995975</v>
      </c>
    </row>
    <row r="35" spans="1:6" x14ac:dyDescent="0.2">
      <c r="A35" s="2">
        <v>33</v>
      </c>
      <c r="B35" s="6">
        <v>31.844297000000001</v>
      </c>
      <c r="C35" s="6">
        <v>31.846868000000001</v>
      </c>
      <c r="D35">
        <f t="shared" si="0"/>
        <v>2.5709999999996569E-3</v>
      </c>
      <c r="E35">
        <f t="shared" si="1"/>
        <v>2.5709999999996569</v>
      </c>
      <c r="F35">
        <f>AVERAGE($E$3:E35)</f>
        <v>6.5023030303026292</v>
      </c>
    </row>
    <row r="36" spans="1:6" x14ac:dyDescent="0.2">
      <c r="A36" s="2">
        <v>34</v>
      </c>
      <c r="B36" s="6">
        <v>31.861993999999999</v>
      </c>
      <c r="C36" s="6">
        <v>31.863534000000001</v>
      </c>
      <c r="D36">
        <f t="shared" si="0"/>
        <v>1.5400000000020952E-3</v>
      </c>
      <c r="E36">
        <f t="shared" si="1"/>
        <v>1.5400000000020952</v>
      </c>
      <c r="F36">
        <f>AVERAGE($E$3:E36)</f>
        <v>6.3563529411761435</v>
      </c>
    </row>
    <row r="37" spans="1:6" x14ac:dyDescent="0.2">
      <c r="A37" s="2">
        <v>35</v>
      </c>
      <c r="B37" s="6">
        <v>31.876225999999999</v>
      </c>
      <c r="C37" s="6">
        <v>31.880210000000002</v>
      </c>
      <c r="D37">
        <f t="shared" si="0"/>
        <v>3.9840000000026521E-3</v>
      </c>
      <c r="E37">
        <f t="shared" si="1"/>
        <v>3.9840000000026521</v>
      </c>
      <c r="F37">
        <f>AVERAGE($E$3:E37)</f>
        <v>6.2885714285711867</v>
      </c>
    </row>
    <row r="38" spans="1:6" x14ac:dyDescent="0.2">
      <c r="A38" s="2">
        <v>36</v>
      </c>
      <c r="B38" s="6">
        <v>31.890574999999998</v>
      </c>
      <c r="C38" s="6">
        <v>31.899660999999998</v>
      </c>
      <c r="D38">
        <f t="shared" si="0"/>
        <v>9.0859999999999275E-3</v>
      </c>
      <c r="E38">
        <f t="shared" si="1"/>
        <v>9.0859999999999275</v>
      </c>
      <c r="F38">
        <f>AVERAGE($E$3:E38)</f>
        <v>6.3662777777775403</v>
      </c>
    </row>
    <row r="39" spans="1:6" x14ac:dyDescent="0.2">
      <c r="A39" s="2">
        <v>37</v>
      </c>
      <c r="B39" s="6">
        <v>31.918326</v>
      </c>
      <c r="C39" s="6">
        <v>31.919685999999999</v>
      </c>
      <c r="D39">
        <f t="shared" si="0"/>
        <v>1.3599999999982515E-3</v>
      </c>
      <c r="E39">
        <f t="shared" si="1"/>
        <v>1.3599999999982515</v>
      </c>
      <c r="F39">
        <f>AVERAGE($E$3:E39)</f>
        <v>6.2309729729726948</v>
      </c>
    </row>
    <row r="40" spans="1:6" x14ac:dyDescent="0.2">
      <c r="A40" s="2">
        <v>38</v>
      </c>
      <c r="B40" s="6">
        <v>31.946238999999998</v>
      </c>
      <c r="C40" s="6">
        <v>31.946853999999998</v>
      </c>
      <c r="D40">
        <f t="shared" si="0"/>
        <v>6.1499999999981014E-4</v>
      </c>
      <c r="E40">
        <f t="shared" si="1"/>
        <v>0.61499999999981014</v>
      </c>
      <c r="F40">
        <f>AVERAGE($E$3:E40)</f>
        <v>6.0831842105260394</v>
      </c>
    </row>
    <row r="41" spans="1:6" x14ac:dyDescent="0.2">
      <c r="A41" s="2">
        <v>39</v>
      </c>
      <c r="B41" s="6">
        <v>31.975439999999999</v>
      </c>
      <c r="C41" s="6">
        <v>31.982201</v>
      </c>
      <c r="D41">
        <f t="shared" si="0"/>
        <v>6.7610000000009052E-3</v>
      </c>
      <c r="E41">
        <f t="shared" si="1"/>
        <v>6.7610000000009052</v>
      </c>
      <c r="F41">
        <f>AVERAGE($E$3:E41)</f>
        <v>6.1005641025638573</v>
      </c>
    </row>
    <row r="42" spans="1:6" x14ac:dyDescent="0.2">
      <c r="A42" s="2">
        <v>40</v>
      </c>
      <c r="B42" s="6">
        <v>31.994154000000002</v>
      </c>
      <c r="C42" s="6">
        <v>31.996905999999999</v>
      </c>
      <c r="D42">
        <f t="shared" si="0"/>
        <v>2.7519999999974232E-3</v>
      </c>
      <c r="E42">
        <f t="shared" si="1"/>
        <v>2.7519999999974232</v>
      </c>
      <c r="F42">
        <f>AVERAGE($E$3:E42)</f>
        <v>6.0168499999996961</v>
      </c>
    </row>
    <row r="43" spans="1:6" x14ac:dyDescent="0.2">
      <c r="A43" s="2">
        <v>41</v>
      </c>
      <c r="B43" s="6">
        <v>32.01135</v>
      </c>
      <c r="C43" s="6">
        <v>32.013658</v>
      </c>
      <c r="D43">
        <f t="shared" si="0"/>
        <v>2.3079999999993106E-3</v>
      </c>
      <c r="E43">
        <f t="shared" si="1"/>
        <v>2.3079999999993106</v>
      </c>
      <c r="F43">
        <f>AVERAGE($E$3:E43)</f>
        <v>5.9263902439021257</v>
      </c>
    </row>
    <row r="44" spans="1:6" x14ac:dyDescent="0.2">
      <c r="A44" s="2">
        <v>42</v>
      </c>
      <c r="B44" s="6">
        <v>32.028359999999999</v>
      </c>
      <c r="C44" s="6">
        <v>32.030195999999997</v>
      </c>
      <c r="D44">
        <f t="shared" si="0"/>
        <v>1.8359999999972842E-3</v>
      </c>
      <c r="E44">
        <f t="shared" si="1"/>
        <v>1.8359999999972842</v>
      </c>
      <c r="F44">
        <f>AVERAGE($E$3:E44)</f>
        <v>5.8289999999996294</v>
      </c>
    </row>
    <row r="45" spans="1:6" x14ac:dyDescent="0.2">
      <c r="A45" s="2">
        <v>43</v>
      </c>
      <c r="B45" s="6">
        <v>32.046765999999998</v>
      </c>
      <c r="C45" s="6">
        <v>32.046925999999999</v>
      </c>
      <c r="D45">
        <f t="shared" si="0"/>
        <v>1.6000000000104819E-4</v>
      </c>
      <c r="E45">
        <f t="shared" si="1"/>
        <v>0.16000000000104819</v>
      </c>
      <c r="F45">
        <f>AVERAGE($E$3:E45)</f>
        <v>5.6971627906973366</v>
      </c>
    </row>
    <row r="46" spans="1:6" x14ac:dyDescent="0.2">
      <c r="A46" s="2">
        <v>44</v>
      </c>
      <c r="B46" s="6">
        <v>32.065162000000001</v>
      </c>
      <c r="C46" s="6">
        <v>32.083395000000003</v>
      </c>
      <c r="D46">
        <f t="shared" si="0"/>
        <v>1.8233000000002164E-2</v>
      </c>
      <c r="E46">
        <f t="shared" si="1"/>
        <v>18.233000000002164</v>
      </c>
      <c r="F46">
        <f>AVERAGE($E$3:E46)</f>
        <v>5.9820681818179002</v>
      </c>
    </row>
    <row r="47" spans="1:6" x14ac:dyDescent="0.2">
      <c r="A47" s="2">
        <v>45</v>
      </c>
      <c r="B47" s="6">
        <v>32.103174000000003</v>
      </c>
      <c r="C47" s="6">
        <v>32.103420999999997</v>
      </c>
      <c r="D47">
        <f t="shared" si="0"/>
        <v>2.4699999999455713E-4</v>
      </c>
      <c r="E47">
        <f t="shared" si="1"/>
        <v>0.24699999999455713</v>
      </c>
      <c r="F47">
        <f>AVERAGE($E$3:E47)</f>
        <v>5.8546222222218258</v>
      </c>
    </row>
    <row r="48" spans="1:6" x14ac:dyDescent="0.2">
      <c r="A48" s="2">
        <v>46</v>
      </c>
      <c r="B48" s="6">
        <v>32.120964999999998</v>
      </c>
      <c r="C48" s="6">
        <v>32.130555999999999</v>
      </c>
      <c r="D48">
        <f t="shared" si="0"/>
        <v>9.5910000000003492E-3</v>
      </c>
      <c r="E48">
        <f t="shared" si="1"/>
        <v>9.5910000000003492</v>
      </c>
      <c r="F48">
        <f>AVERAGE($E$3:E48)</f>
        <v>5.9358478260865768</v>
      </c>
    </row>
    <row r="49" spans="1:6" x14ac:dyDescent="0.2">
      <c r="A49" s="2">
        <v>47</v>
      </c>
      <c r="B49" s="6">
        <v>32.139459000000002</v>
      </c>
      <c r="C49" s="6">
        <v>32.147283999999999</v>
      </c>
      <c r="D49">
        <f t="shared" si="0"/>
        <v>7.8249999999968622E-3</v>
      </c>
      <c r="E49">
        <f t="shared" si="1"/>
        <v>7.8249999999968622</v>
      </c>
      <c r="F49">
        <f>AVERAGE($E$3:E49)</f>
        <v>5.9760425531910508</v>
      </c>
    </row>
    <row r="50" spans="1:6" x14ac:dyDescent="0.2">
      <c r="A50" s="2">
        <v>48</v>
      </c>
      <c r="B50" s="6">
        <v>32.158524999999997</v>
      </c>
      <c r="C50" s="6">
        <v>32.164867000000001</v>
      </c>
      <c r="D50">
        <f t="shared" si="0"/>
        <v>6.3420000000036225E-3</v>
      </c>
      <c r="E50">
        <f t="shared" si="1"/>
        <v>6.3420000000036225</v>
      </c>
      <c r="F50">
        <f>AVERAGE($E$3:E50)</f>
        <v>5.9836666666663128</v>
      </c>
    </row>
    <row r="51" spans="1:6" x14ac:dyDescent="0.2">
      <c r="A51" s="2">
        <v>49</v>
      </c>
      <c r="B51" s="6">
        <v>32.174469000000002</v>
      </c>
      <c r="C51" s="6">
        <v>32.181114000000001</v>
      </c>
      <c r="D51">
        <f t="shared" si="0"/>
        <v>6.6449999999989018E-3</v>
      </c>
      <c r="E51">
        <f t="shared" si="1"/>
        <v>6.6449999999989018</v>
      </c>
      <c r="F51">
        <f>AVERAGE($E$3:E51)</f>
        <v>5.9971632653057529</v>
      </c>
    </row>
    <row r="52" spans="1:6" x14ac:dyDescent="0.2">
      <c r="A52" s="2">
        <v>50</v>
      </c>
      <c r="B52" s="6">
        <v>32.191862999999998</v>
      </c>
      <c r="C52" s="6">
        <v>32.199413</v>
      </c>
      <c r="D52">
        <f t="shared" si="0"/>
        <v>7.550000000001944E-3</v>
      </c>
      <c r="E52">
        <f t="shared" si="1"/>
        <v>7.550000000001944</v>
      </c>
      <c r="F52">
        <f>AVERAGE($E$3:E52)</f>
        <v>6.0282199999996768</v>
      </c>
    </row>
    <row r="53" spans="1:6" x14ac:dyDescent="0.2">
      <c r="A53" s="2">
        <v>51</v>
      </c>
      <c r="B53" s="6">
        <v>32.210165000000003</v>
      </c>
      <c r="C53" s="6">
        <v>32.216090999999999</v>
      </c>
      <c r="D53">
        <f t="shared" si="0"/>
        <v>5.9259999999952129E-3</v>
      </c>
      <c r="E53">
        <f t="shared" si="1"/>
        <v>5.9259999999952129</v>
      </c>
      <c r="F53">
        <f>AVERAGE($E$3:E53)</f>
        <v>6.0262156862740994</v>
      </c>
    </row>
    <row r="54" spans="1:6" x14ac:dyDescent="0.2">
      <c r="A54" s="2">
        <v>52</v>
      </c>
      <c r="B54" s="6">
        <v>32.228046999999997</v>
      </c>
      <c r="C54" s="6">
        <v>32.236018999999999</v>
      </c>
      <c r="D54">
        <f t="shared" si="0"/>
        <v>7.9720000000023106E-3</v>
      </c>
      <c r="E54">
        <f t="shared" si="1"/>
        <v>7.9720000000023106</v>
      </c>
      <c r="F54">
        <f>AVERAGE($E$3:E54)</f>
        <v>6.0636346153842577</v>
      </c>
    </row>
    <row r="55" spans="1:6" x14ac:dyDescent="0.2">
      <c r="A55" s="2">
        <v>53</v>
      </c>
      <c r="B55" s="6">
        <v>32.247765999999999</v>
      </c>
      <c r="C55" s="6">
        <v>32.263517</v>
      </c>
      <c r="D55">
        <f t="shared" si="0"/>
        <v>1.5751000000001625E-2</v>
      </c>
      <c r="E55">
        <f t="shared" si="1"/>
        <v>15.751000000001625</v>
      </c>
      <c r="F55">
        <f>AVERAGE($E$3:E55)</f>
        <v>6.2464150943393024</v>
      </c>
    </row>
    <row r="56" spans="1:6" x14ac:dyDescent="0.2">
      <c r="A56" s="2">
        <v>54</v>
      </c>
      <c r="B56" s="6">
        <v>32.268137000000003</v>
      </c>
      <c r="C56" s="6">
        <v>32.280275000000003</v>
      </c>
      <c r="D56">
        <f t="shared" si="0"/>
        <v>1.2138000000000204E-2</v>
      </c>
      <c r="E56">
        <f t="shared" si="1"/>
        <v>12.138000000000204</v>
      </c>
      <c r="F56">
        <f>AVERAGE($E$3:E56)</f>
        <v>6.3555185185182079</v>
      </c>
    </row>
    <row r="57" spans="1:6" x14ac:dyDescent="0.2">
      <c r="A57" s="2">
        <v>55</v>
      </c>
      <c r="B57" s="6">
        <v>32.286026999999997</v>
      </c>
      <c r="C57" s="6">
        <v>32.296866000000001</v>
      </c>
      <c r="D57">
        <f t="shared" si="0"/>
        <v>1.0839000000004262E-2</v>
      </c>
      <c r="E57">
        <f t="shared" si="1"/>
        <v>10.839000000004262</v>
      </c>
      <c r="F57">
        <f>AVERAGE($E$3:E57)</f>
        <v>6.4370363636361363</v>
      </c>
    </row>
    <row r="58" spans="1:6" x14ac:dyDescent="0.2">
      <c r="A58" s="2">
        <v>56</v>
      </c>
      <c r="B58" s="6">
        <v>32.303722999999998</v>
      </c>
      <c r="C58" s="6">
        <v>32.313616000000003</v>
      </c>
      <c r="D58">
        <f t="shared" si="0"/>
        <v>9.8930000000052587E-3</v>
      </c>
      <c r="E58">
        <f t="shared" si="1"/>
        <v>9.8930000000052587</v>
      </c>
      <c r="F58">
        <f>AVERAGE($E$3:E58)</f>
        <v>6.4987499999998706</v>
      </c>
    </row>
    <row r="59" spans="1:6" x14ac:dyDescent="0.2">
      <c r="A59" s="2">
        <v>57</v>
      </c>
      <c r="B59" s="6">
        <v>32.322803999999998</v>
      </c>
      <c r="C59" s="6">
        <v>32.332022000000002</v>
      </c>
      <c r="D59">
        <f t="shared" si="0"/>
        <v>9.2180000000041673E-3</v>
      </c>
      <c r="E59">
        <f t="shared" si="1"/>
        <v>9.2180000000041673</v>
      </c>
      <c r="F59">
        <f>AVERAGE($E$3:E59)</f>
        <v>6.5464561403508226</v>
      </c>
    </row>
    <row r="60" spans="1:6" x14ac:dyDescent="0.2">
      <c r="A60" s="2">
        <v>58</v>
      </c>
      <c r="B60" s="6">
        <v>32.341728000000003</v>
      </c>
      <c r="C60" s="6">
        <v>32.351489999999998</v>
      </c>
      <c r="D60">
        <f t="shared" si="0"/>
        <v>9.7619999999949414E-3</v>
      </c>
      <c r="E60">
        <f t="shared" si="1"/>
        <v>9.7619999999949414</v>
      </c>
      <c r="F60">
        <f>AVERAGE($E$3:E60)</f>
        <v>6.6018965517239971</v>
      </c>
    </row>
    <row r="61" spans="1:6" x14ac:dyDescent="0.2">
      <c r="A61" s="2">
        <v>59</v>
      </c>
      <c r="B61" s="6">
        <v>32.360919000000003</v>
      </c>
      <c r="C61" s="6">
        <v>32.370117</v>
      </c>
      <c r="D61">
        <f t="shared" si="0"/>
        <v>9.197999999997819E-3</v>
      </c>
      <c r="E61">
        <f t="shared" si="1"/>
        <v>9.197999999997819</v>
      </c>
      <c r="F61">
        <f>AVERAGE($E$3:E61)</f>
        <v>6.6458983050845708</v>
      </c>
    </row>
    <row r="62" spans="1:6" x14ac:dyDescent="0.2">
      <c r="A62" s="2">
        <v>60</v>
      </c>
      <c r="B62" s="6">
        <v>32.380935999999998</v>
      </c>
      <c r="C62" s="6">
        <v>32.397191999999997</v>
      </c>
      <c r="D62">
        <f t="shared" si="0"/>
        <v>1.6255999999998494E-2</v>
      </c>
      <c r="E62">
        <f t="shared" si="1"/>
        <v>16.255999999998494</v>
      </c>
      <c r="F62">
        <f>AVERAGE($E$3:E62)</f>
        <v>6.8060666666664691</v>
      </c>
    </row>
    <row r="63" spans="1:6" x14ac:dyDescent="0.2">
      <c r="A63" s="2">
        <v>61</v>
      </c>
      <c r="B63" s="6">
        <v>32.398589999999999</v>
      </c>
      <c r="C63" s="6">
        <v>32.413822000000003</v>
      </c>
      <c r="D63">
        <f t="shared" si="0"/>
        <v>1.5232000000004575E-2</v>
      </c>
      <c r="E63">
        <f t="shared" si="1"/>
        <v>15.232000000004575</v>
      </c>
      <c r="F63">
        <f>AVERAGE($E$3:E63)</f>
        <v>6.9441967213113562</v>
      </c>
    </row>
    <row r="64" spans="1:6" x14ac:dyDescent="0.2">
      <c r="A64" s="2">
        <v>62</v>
      </c>
      <c r="B64" s="6">
        <v>32.417606999999997</v>
      </c>
      <c r="C64" s="6">
        <v>32.430467999999998</v>
      </c>
      <c r="D64">
        <f t="shared" si="0"/>
        <v>1.2861000000000899E-2</v>
      </c>
      <c r="E64">
        <f t="shared" si="1"/>
        <v>12.861000000000899</v>
      </c>
      <c r="F64">
        <f>AVERAGE($E$3:E64)</f>
        <v>7.0396290322579613</v>
      </c>
    </row>
    <row r="65" spans="1:6" x14ac:dyDescent="0.2">
      <c r="A65" s="2">
        <v>63</v>
      </c>
      <c r="B65" s="6">
        <v>32.435609999999997</v>
      </c>
      <c r="C65" s="6">
        <v>32.447440999999998</v>
      </c>
      <c r="D65">
        <f t="shared" si="0"/>
        <v>1.1831000000000813E-2</v>
      </c>
      <c r="E65">
        <f t="shared" si="1"/>
        <v>11.831000000000813</v>
      </c>
      <c r="F65">
        <f>AVERAGE($E$3:E65)</f>
        <v>7.1156825396824512</v>
      </c>
    </row>
    <row r="66" spans="1:6" x14ac:dyDescent="0.2">
      <c r="A66" s="2">
        <v>64</v>
      </c>
      <c r="B66" s="6">
        <v>32.454853999999997</v>
      </c>
      <c r="C66" s="6">
        <v>32.467516000000003</v>
      </c>
      <c r="D66">
        <f t="shared" si="0"/>
        <v>1.2662000000005946E-2</v>
      </c>
      <c r="E66">
        <f t="shared" si="1"/>
        <v>12.662000000005946</v>
      </c>
      <c r="F66">
        <f>AVERAGE($E$3:E66)</f>
        <v>7.202343750000006</v>
      </c>
    </row>
    <row r="67" spans="1:6" x14ac:dyDescent="0.2">
      <c r="A67" s="2">
        <v>65</v>
      </c>
      <c r="B67" s="6">
        <v>32.474550000000001</v>
      </c>
      <c r="C67" s="6">
        <v>32.484440999999997</v>
      </c>
      <c r="D67">
        <f t="shared" si="0"/>
        <v>9.8909999999960974E-3</v>
      </c>
      <c r="E67">
        <f t="shared" si="1"/>
        <v>9.8909999999960974</v>
      </c>
      <c r="F67">
        <f>AVERAGE($E$3:E67)</f>
        <v>7.2437076923076384</v>
      </c>
    </row>
    <row r="68" spans="1:6" x14ac:dyDescent="0.2">
      <c r="A68" s="2">
        <v>66</v>
      </c>
      <c r="B68" s="6">
        <v>32.491988999999997</v>
      </c>
      <c r="C68" s="6">
        <v>32.502291999999997</v>
      </c>
      <c r="D68">
        <f t="shared" ref="D68:D102" si="2">C68-B68</f>
        <v>1.0303000000000395E-2</v>
      </c>
      <c r="E68">
        <f t="shared" ref="E68:E102" si="3">D68*1000</f>
        <v>10.303000000000395</v>
      </c>
      <c r="F68">
        <f>AVERAGE($E$3:E68)</f>
        <v>7.2900606060605586</v>
      </c>
    </row>
    <row r="69" spans="1:6" x14ac:dyDescent="0.2">
      <c r="A69" s="2">
        <v>67</v>
      </c>
      <c r="B69" s="6">
        <v>32.529789999999998</v>
      </c>
      <c r="C69" s="6">
        <v>32.530710999999997</v>
      </c>
      <c r="D69">
        <f t="shared" si="2"/>
        <v>9.2099999999817328E-4</v>
      </c>
      <c r="E69">
        <f t="shared" si="3"/>
        <v>0.92099999999817328</v>
      </c>
      <c r="F69">
        <f>AVERAGE($E$3:E69)</f>
        <v>7.1949999999999266</v>
      </c>
    </row>
    <row r="70" spans="1:6" x14ac:dyDescent="0.2">
      <c r="A70" s="2">
        <v>68</v>
      </c>
      <c r="B70" s="6">
        <v>32.547415000000001</v>
      </c>
      <c r="C70" s="6">
        <v>32.563623</v>
      </c>
      <c r="D70">
        <f t="shared" si="2"/>
        <v>1.620799999999889E-2</v>
      </c>
      <c r="E70">
        <f t="shared" si="3"/>
        <v>16.20799999999889</v>
      </c>
      <c r="F70">
        <f>AVERAGE($E$3:E70)</f>
        <v>7.32754411764697</v>
      </c>
    </row>
    <row r="71" spans="1:6" x14ac:dyDescent="0.2">
      <c r="A71" s="2">
        <v>69</v>
      </c>
      <c r="B71" s="6">
        <v>32.565638999999997</v>
      </c>
      <c r="C71" s="6">
        <v>32.569308999999997</v>
      </c>
      <c r="D71">
        <f t="shared" si="2"/>
        <v>3.669999999999618E-3</v>
      </c>
      <c r="E71">
        <f t="shared" si="3"/>
        <v>3.669999999999618</v>
      </c>
      <c r="F71">
        <f>AVERAGE($E$3:E71)</f>
        <v>7.2745362318839648</v>
      </c>
    </row>
    <row r="72" spans="1:6" x14ac:dyDescent="0.2">
      <c r="A72" s="2">
        <v>70</v>
      </c>
      <c r="B72" s="6">
        <v>32.586818999999998</v>
      </c>
      <c r="C72" s="6">
        <v>32.597472000000003</v>
      </c>
      <c r="D72">
        <f t="shared" si="2"/>
        <v>1.0653000000004909E-2</v>
      </c>
      <c r="E72">
        <f t="shared" si="3"/>
        <v>10.653000000004909</v>
      </c>
      <c r="F72">
        <f>AVERAGE($E$3:E72)</f>
        <v>7.3227999999999769</v>
      </c>
    </row>
    <row r="73" spans="1:6" x14ac:dyDescent="0.2">
      <c r="A73" s="2">
        <v>71</v>
      </c>
      <c r="B73" s="6">
        <v>32.615631999999998</v>
      </c>
      <c r="C73" s="6">
        <v>32.630591000000003</v>
      </c>
      <c r="D73">
        <f t="shared" si="2"/>
        <v>1.4959000000004608E-2</v>
      </c>
      <c r="E73">
        <f t="shared" si="3"/>
        <v>14.959000000004608</v>
      </c>
      <c r="F73">
        <f>AVERAGE($E$3:E73)</f>
        <v>7.4303521126760987</v>
      </c>
    </row>
    <row r="74" spans="1:6" x14ac:dyDescent="0.2">
      <c r="A74" s="2">
        <v>72</v>
      </c>
      <c r="B74" s="6">
        <v>32.633169000000002</v>
      </c>
      <c r="C74" s="6">
        <v>32.646901</v>
      </c>
      <c r="D74">
        <f t="shared" si="2"/>
        <v>1.3731999999997413E-2</v>
      </c>
      <c r="E74">
        <f t="shared" si="3"/>
        <v>13.731999999997413</v>
      </c>
      <c r="F74">
        <f>AVERAGE($E$3:E74)</f>
        <v>7.5178750000000072</v>
      </c>
    </row>
    <row r="75" spans="1:6" x14ac:dyDescent="0.2">
      <c r="A75" s="2">
        <v>73</v>
      </c>
      <c r="B75" s="6">
        <v>32.650728999999998</v>
      </c>
      <c r="C75" s="6">
        <v>32.663713999999999</v>
      </c>
      <c r="D75">
        <f t="shared" si="2"/>
        <v>1.2985000000000468E-2</v>
      </c>
      <c r="E75">
        <f t="shared" si="3"/>
        <v>12.985000000000468</v>
      </c>
      <c r="F75">
        <f>AVERAGE($E$3:E75)</f>
        <v>7.5927671232876843</v>
      </c>
    </row>
    <row r="76" spans="1:6" x14ac:dyDescent="0.2">
      <c r="A76" s="2">
        <v>74</v>
      </c>
      <c r="B76" s="6">
        <v>32.668650999999997</v>
      </c>
      <c r="C76" s="6">
        <v>32.680309999999999</v>
      </c>
      <c r="D76">
        <f t="shared" si="2"/>
        <v>1.165900000000164E-2</v>
      </c>
      <c r="E76">
        <f t="shared" si="3"/>
        <v>11.65900000000164</v>
      </c>
      <c r="F76">
        <f>AVERAGE($E$3:E76)</f>
        <v>7.6477162162162502</v>
      </c>
    </row>
    <row r="77" spans="1:6" x14ac:dyDescent="0.2">
      <c r="A77" s="2">
        <v>75</v>
      </c>
      <c r="B77" s="6">
        <v>32.685892000000003</v>
      </c>
      <c r="C77" s="6">
        <v>32.697029999999998</v>
      </c>
      <c r="D77">
        <f t="shared" si="2"/>
        <v>1.1137999999995429E-2</v>
      </c>
      <c r="E77">
        <f t="shared" si="3"/>
        <v>11.137999999995429</v>
      </c>
      <c r="F77">
        <f>AVERAGE($E$3:E77)</f>
        <v>7.6942533333333056</v>
      </c>
    </row>
    <row r="78" spans="1:6" x14ac:dyDescent="0.2">
      <c r="A78" s="2">
        <v>76</v>
      </c>
      <c r="B78" s="6">
        <v>32.704618000000004</v>
      </c>
      <c r="C78" s="6">
        <v>32.713776000000003</v>
      </c>
      <c r="D78">
        <f t="shared" si="2"/>
        <v>9.1579999999993333E-3</v>
      </c>
      <c r="E78">
        <f t="shared" si="3"/>
        <v>9.1579999999993333</v>
      </c>
      <c r="F78">
        <f>AVERAGE($E$3:E78)</f>
        <v>7.7135131578947007</v>
      </c>
    </row>
    <row r="79" spans="1:6" x14ac:dyDescent="0.2">
      <c r="A79" s="2">
        <v>77</v>
      </c>
      <c r="B79" s="6">
        <v>32.722729999999999</v>
      </c>
      <c r="C79" s="6">
        <v>32.730479000000003</v>
      </c>
      <c r="D79">
        <f t="shared" si="2"/>
        <v>7.7490000000040027E-3</v>
      </c>
      <c r="E79">
        <f t="shared" si="3"/>
        <v>7.7490000000040027</v>
      </c>
      <c r="F79">
        <f>AVERAGE($E$3:E79)</f>
        <v>7.7139740259740419</v>
      </c>
    </row>
    <row r="80" spans="1:6" x14ac:dyDescent="0.2">
      <c r="A80" s="2">
        <v>78</v>
      </c>
      <c r="B80" s="6">
        <v>32.739212000000002</v>
      </c>
      <c r="C80" s="6">
        <v>32.749667000000002</v>
      </c>
      <c r="D80">
        <f t="shared" si="2"/>
        <v>1.0455000000000325E-2</v>
      </c>
      <c r="E80">
        <f t="shared" si="3"/>
        <v>10.455000000000325</v>
      </c>
      <c r="F80">
        <f>AVERAGE($E$3:E80)</f>
        <v>7.7491153846154059</v>
      </c>
    </row>
    <row r="81" spans="1:6" x14ac:dyDescent="0.2">
      <c r="A81" s="2">
        <v>79</v>
      </c>
      <c r="B81" s="6">
        <v>32.756722000000003</v>
      </c>
      <c r="C81" s="6">
        <v>32.768112000000002</v>
      </c>
      <c r="D81">
        <f t="shared" si="2"/>
        <v>1.1389999999998679E-2</v>
      </c>
      <c r="E81">
        <f t="shared" si="3"/>
        <v>11.389999999998679</v>
      </c>
      <c r="F81">
        <f>AVERAGE($E$3:E81)</f>
        <v>7.7952025316455744</v>
      </c>
    </row>
    <row r="82" spans="1:6" x14ac:dyDescent="0.2">
      <c r="A82" s="2">
        <v>80</v>
      </c>
      <c r="B82" s="6">
        <v>32.776648000000002</v>
      </c>
      <c r="C82" s="6">
        <v>32.797094999999999</v>
      </c>
      <c r="D82">
        <f t="shared" si="2"/>
        <v>2.0446999999997217E-2</v>
      </c>
      <c r="E82">
        <f t="shared" si="3"/>
        <v>20.446999999997217</v>
      </c>
      <c r="F82">
        <f>AVERAGE($E$3:E82)</f>
        <v>7.9533499999999693</v>
      </c>
    </row>
    <row r="83" spans="1:6" x14ac:dyDescent="0.2">
      <c r="A83" s="2">
        <v>81</v>
      </c>
      <c r="B83" s="6">
        <v>32.798217999999999</v>
      </c>
      <c r="C83" s="6">
        <v>32.813726000000003</v>
      </c>
      <c r="D83">
        <f t="shared" si="2"/>
        <v>1.5508000000004074E-2</v>
      </c>
      <c r="E83">
        <f t="shared" si="3"/>
        <v>15.508000000004074</v>
      </c>
      <c r="F83">
        <f>AVERAGE($E$3:E83)</f>
        <v>8.0466172839506385</v>
      </c>
    </row>
    <row r="84" spans="1:6" x14ac:dyDescent="0.2">
      <c r="A84" s="2">
        <v>82</v>
      </c>
      <c r="B84" s="6">
        <v>32.820616999999999</v>
      </c>
      <c r="C84" s="6">
        <v>32.830615999999999</v>
      </c>
      <c r="D84">
        <f t="shared" si="2"/>
        <v>9.9990000000005352E-3</v>
      </c>
      <c r="E84">
        <f t="shared" si="3"/>
        <v>9.9990000000005352</v>
      </c>
      <c r="F84">
        <f>AVERAGE($E$3:E84)</f>
        <v>8.0704268292683192</v>
      </c>
    </row>
    <row r="85" spans="1:6" x14ac:dyDescent="0.2">
      <c r="A85" s="2">
        <v>83</v>
      </c>
      <c r="B85" s="6">
        <v>32.840620999999999</v>
      </c>
      <c r="C85" s="6">
        <v>32.848233</v>
      </c>
      <c r="D85">
        <f t="shared" si="2"/>
        <v>7.6120000000017285E-3</v>
      </c>
      <c r="E85">
        <f t="shared" si="3"/>
        <v>7.6120000000017285</v>
      </c>
      <c r="F85">
        <f>AVERAGE($E$3:E85)</f>
        <v>8.0649036144578776</v>
      </c>
    </row>
    <row r="86" spans="1:6" x14ac:dyDescent="0.2">
      <c r="A86" s="2">
        <v>84</v>
      </c>
      <c r="B86" s="6">
        <v>32.860106999999999</v>
      </c>
      <c r="C86" s="6">
        <v>32.864182</v>
      </c>
      <c r="D86">
        <f t="shared" si="2"/>
        <v>4.0750000000002728E-3</v>
      </c>
      <c r="E86">
        <f t="shared" si="3"/>
        <v>4.0750000000002728</v>
      </c>
      <c r="F86">
        <f>AVERAGE($E$3:E86)</f>
        <v>8.0174047619048103</v>
      </c>
    </row>
    <row r="87" spans="1:6" x14ac:dyDescent="0.2">
      <c r="A87" s="2">
        <v>85</v>
      </c>
      <c r="B87" s="6">
        <v>32.883898000000002</v>
      </c>
      <c r="C87" s="6">
        <v>32.89884</v>
      </c>
      <c r="D87">
        <f t="shared" si="2"/>
        <v>1.494199999999779E-2</v>
      </c>
      <c r="E87">
        <f t="shared" si="3"/>
        <v>14.94199999999779</v>
      </c>
      <c r="F87">
        <f>AVERAGE($E$3:E87)</f>
        <v>8.0988705882353162</v>
      </c>
    </row>
    <row r="88" spans="1:6" x14ac:dyDescent="0.2">
      <c r="A88" s="2">
        <v>86</v>
      </c>
      <c r="B88" s="6">
        <v>32.900942999999998</v>
      </c>
      <c r="C88" s="6">
        <v>32.917084000000003</v>
      </c>
      <c r="D88">
        <f t="shared" si="2"/>
        <v>1.6141000000004624E-2</v>
      </c>
      <c r="E88">
        <f t="shared" si="3"/>
        <v>16.141000000004624</v>
      </c>
      <c r="F88">
        <f>AVERAGE($E$3:E88)</f>
        <v>8.192383720930307</v>
      </c>
    </row>
    <row r="89" spans="1:6" x14ac:dyDescent="0.2">
      <c r="A89" s="2">
        <v>87</v>
      </c>
      <c r="B89" s="6">
        <v>32.918728000000002</v>
      </c>
      <c r="C89" s="6">
        <v>32.937493000000003</v>
      </c>
      <c r="D89">
        <f t="shared" si="2"/>
        <v>1.8765000000001919E-2</v>
      </c>
      <c r="E89">
        <f t="shared" si="3"/>
        <v>18.765000000001919</v>
      </c>
      <c r="F89">
        <f>AVERAGE($E$3:E89)</f>
        <v>8.313908045977108</v>
      </c>
    </row>
    <row r="90" spans="1:6" x14ac:dyDescent="0.2">
      <c r="A90" s="2">
        <v>88</v>
      </c>
      <c r="B90" s="6">
        <v>32.957509000000002</v>
      </c>
      <c r="C90" s="6">
        <v>32.963740000000001</v>
      </c>
      <c r="D90">
        <f t="shared" si="2"/>
        <v>6.2309999999996535E-3</v>
      </c>
      <c r="E90">
        <f t="shared" si="3"/>
        <v>6.2309999999996535</v>
      </c>
      <c r="F90">
        <f>AVERAGE($E$3:E90)</f>
        <v>8.2902386363637266</v>
      </c>
    </row>
    <row r="91" spans="1:6" x14ac:dyDescent="0.2">
      <c r="A91" s="2">
        <v>89</v>
      </c>
      <c r="B91" s="6">
        <v>32.976759999999999</v>
      </c>
      <c r="C91" s="6">
        <v>32.980580000000003</v>
      </c>
      <c r="D91">
        <f t="shared" si="2"/>
        <v>3.8200000000045975E-3</v>
      </c>
      <c r="E91">
        <f t="shared" si="3"/>
        <v>3.8200000000045975</v>
      </c>
      <c r="F91">
        <f>AVERAGE($E$3:E91)</f>
        <v>8.2400112359551976</v>
      </c>
    </row>
    <row r="92" spans="1:6" x14ac:dyDescent="0.2">
      <c r="A92" s="2">
        <v>90</v>
      </c>
      <c r="B92" s="6">
        <v>33.015875000000001</v>
      </c>
      <c r="C92" s="6">
        <v>33.030289000000003</v>
      </c>
      <c r="D92">
        <f t="shared" si="2"/>
        <v>1.4414000000002147E-2</v>
      </c>
      <c r="E92">
        <f t="shared" si="3"/>
        <v>14.414000000002147</v>
      </c>
      <c r="F92">
        <f>AVERAGE($E$3:E92)</f>
        <v>8.3086111111112757</v>
      </c>
    </row>
    <row r="93" spans="1:6" x14ac:dyDescent="0.2">
      <c r="A93" s="2">
        <v>91</v>
      </c>
      <c r="B93" s="6">
        <v>33.034593999999998</v>
      </c>
      <c r="C93" s="6">
        <v>33.053950999999998</v>
      </c>
      <c r="D93">
        <f t="shared" si="2"/>
        <v>1.9356999999999402E-2</v>
      </c>
      <c r="E93">
        <f t="shared" si="3"/>
        <v>19.356999999999402</v>
      </c>
      <c r="F93">
        <f>AVERAGE($E$3:E93)</f>
        <v>8.4300219780221344</v>
      </c>
    </row>
    <row r="94" spans="1:6" x14ac:dyDescent="0.2">
      <c r="A94" s="2">
        <v>92</v>
      </c>
      <c r="B94" s="6">
        <v>33.054079000000002</v>
      </c>
      <c r="C94" s="6">
        <v>33.071303</v>
      </c>
      <c r="D94">
        <f t="shared" si="2"/>
        <v>1.7223999999998796E-2</v>
      </c>
      <c r="E94">
        <f t="shared" si="3"/>
        <v>17.223999999998796</v>
      </c>
      <c r="F94">
        <f>AVERAGE($E$3:E94)</f>
        <v>8.5256086956523145</v>
      </c>
    </row>
    <row r="95" spans="1:6" x14ac:dyDescent="0.2">
      <c r="A95" s="2">
        <v>93</v>
      </c>
      <c r="B95" s="6">
        <v>33.090632999999997</v>
      </c>
      <c r="C95" s="6">
        <v>33.096980000000002</v>
      </c>
      <c r="D95">
        <f t="shared" si="2"/>
        <v>6.3470000000052096E-3</v>
      </c>
      <c r="E95">
        <f t="shared" si="3"/>
        <v>6.3470000000052096</v>
      </c>
      <c r="F95">
        <f>AVERAGE($E$3:E95)</f>
        <v>8.5021827956991203</v>
      </c>
    </row>
    <row r="96" spans="1:6" x14ac:dyDescent="0.2">
      <c r="A96" s="2">
        <v>94</v>
      </c>
      <c r="B96" s="6">
        <v>33.109006000000001</v>
      </c>
      <c r="C96" s="6">
        <v>33.113436</v>
      </c>
      <c r="D96">
        <f t="shared" si="2"/>
        <v>4.4299999999992679E-3</v>
      </c>
      <c r="E96">
        <f t="shared" si="3"/>
        <v>4.4299999999992679</v>
      </c>
      <c r="F96">
        <f>AVERAGE($E$3:E96)</f>
        <v>8.4588617021278445</v>
      </c>
    </row>
    <row r="97" spans="1:6" x14ac:dyDescent="0.2">
      <c r="A97" s="2">
        <v>95</v>
      </c>
      <c r="B97" s="6">
        <v>33.126823000000002</v>
      </c>
      <c r="C97" s="6">
        <v>33.130316000000001</v>
      </c>
      <c r="D97">
        <f t="shared" si="2"/>
        <v>3.4929999999988581E-3</v>
      </c>
      <c r="E97">
        <f t="shared" si="3"/>
        <v>3.4929999999988581</v>
      </c>
      <c r="F97">
        <f>AVERAGE($E$3:E97)</f>
        <v>8.4065894736843827</v>
      </c>
    </row>
    <row r="98" spans="1:6" x14ac:dyDescent="0.2">
      <c r="A98" s="2">
        <v>96</v>
      </c>
      <c r="B98" s="6">
        <v>33.146281000000002</v>
      </c>
      <c r="C98" s="6">
        <v>33.147022999999997</v>
      </c>
      <c r="D98">
        <f t="shared" si="2"/>
        <v>7.4199999999535748E-4</v>
      </c>
      <c r="E98">
        <f t="shared" si="3"/>
        <v>0.74199999999535748</v>
      </c>
      <c r="F98">
        <f>AVERAGE($E$3:E98)</f>
        <v>8.3267500000001231</v>
      </c>
    </row>
    <row r="99" spans="1:6" x14ac:dyDescent="0.2">
      <c r="A99" s="2">
        <v>97</v>
      </c>
      <c r="B99" s="6">
        <v>33.165308000000003</v>
      </c>
      <c r="C99" s="6">
        <v>33.180388000000001</v>
      </c>
      <c r="D99">
        <f t="shared" si="2"/>
        <v>1.507999999999754E-2</v>
      </c>
      <c r="E99">
        <f t="shared" si="3"/>
        <v>15.07999999999754</v>
      </c>
      <c r="F99">
        <f>AVERAGE($E$3:E99)</f>
        <v>8.3963711340207148</v>
      </c>
    </row>
    <row r="100" spans="1:6" x14ac:dyDescent="0.2">
      <c r="A100" s="2">
        <v>98</v>
      </c>
      <c r="B100" s="6">
        <v>33.185226</v>
      </c>
      <c r="C100" s="6">
        <v>33.200094</v>
      </c>
      <c r="D100">
        <f t="shared" si="2"/>
        <v>1.4867999999999881E-2</v>
      </c>
      <c r="E100">
        <f t="shared" si="3"/>
        <v>14.867999999999881</v>
      </c>
      <c r="F100">
        <f>AVERAGE($E$3:E100)</f>
        <v>8.4624081632653994</v>
      </c>
    </row>
    <row r="101" spans="1:6" x14ac:dyDescent="0.2">
      <c r="A101" s="2">
        <v>99</v>
      </c>
      <c r="B101" s="6">
        <v>33.206864000000003</v>
      </c>
      <c r="C101" s="6">
        <v>33.216797999999997</v>
      </c>
      <c r="D101">
        <f t="shared" si="2"/>
        <v>9.9339999999941142E-3</v>
      </c>
      <c r="E101">
        <f t="shared" si="3"/>
        <v>9.9339999999941142</v>
      </c>
      <c r="F101">
        <f>AVERAGE($E$3:E101)</f>
        <v>8.4772727272727586</v>
      </c>
    </row>
    <row r="102" spans="1:6" x14ac:dyDescent="0.2">
      <c r="A102" s="2">
        <v>100</v>
      </c>
      <c r="B102" s="6">
        <v>33.227204999999998</v>
      </c>
      <c r="C102" s="6">
        <v>33.236866999999997</v>
      </c>
      <c r="D102">
        <f t="shared" si="2"/>
        <v>9.6619999999987272E-3</v>
      </c>
      <c r="E102">
        <f t="shared" si="3"/>
        <v>9.6619999999987272</v>
      </c>
      <c r="F102">
        <f>AVERAGE($E$3:E102)</f>
        <v>8.4891200000000193</v>
      </c>
    </row>
    <row r="103" spans="1:6" x14ac:dyDescent="0.2">
      <c r="A103" s="2"/>
      <c r="B103" s="6"/>
      <c r="C103" s="7" t="s">
        <v>72</v>
      </c>
      <c r="D103" s="6">
        <f t="shared" ref="D103:E103" si="4">AVERAGE(D3:D102)</f>
        <v>8.4891200000000219E-3</v>
      </c>
      <c r="E103" s="6">
        <f t="shared" si="4"/>
        <v>8.4891200000000193</v>
      </c>
    </row>
    <row r="104" spans="1:6" x14ac:dyDescent="0.2">
      <c r="A104" s="2"/>
      <c r="B104" s="6"/>
      <c r="C104" s="6"/>
    </row>
    <row r="105" spans="1:6" x14ac:dyDescent="0.2">
      <c r="A105" s="2"/>
      <c r="B105" s="6"/>
      <c r="C105" s="6"/>
    </row>
    <row r="106" spans="1:6" x14ac:dyDescent="0.2">
      <c r="A106" s="2"/>
      <c r="B106" s="6"/>
      <c r="C106" s="6"/>
    </row>
    <row r="107" spans="1:6" x14ac:dyDescent="0.2">
      <c r="A107" s="2"/>
      <c r="B107" s="6"/>
      <c r="C107" s="6"/>
    </row>
    <row r="108" spans="1:6" x14ac:dyDescent="0.2">
      <c r="A108" s="2"/>
      <c r="B108" s="6"/>
      <c r="C108" s="6"/>
    </row>
    <row r="109" spans="1:6" x14ac:dyDescent="0.2">
      <c r="A109" s="2"/>
      <c r="B109" s="6"/>
      <c r="C109" s="6"/>
    </row>
    <row r="110" spans="1:6" x14ac:dyDescent="0.2">
      <c r="A110" s="2"/>
      <c r="B110" s="6"/>
      <c r="C110" s="6"/>
    </row>
    <row r="111" spans="1:6" x14ac:dyDescent="0.2">
      <c r="A111" s="2"/>
      <c r="B111" s="6"/>
      <c r="C111" s="6"/>
    </row>
    <row r="112" spans="1:6" x14ac:dyDescent="0.2">
      <c r="A112" s="2"/>
      <c r="B112" s="6"/>
      <c r="C112" s="6"/>
    </row>
    <row r="113" spans="3:3" x14ac:dyDescent="0.2">
      <c r="C113" s="6"/>
    </row>
    <row r="114" spans="3:3" x14ac:dyDescent="0.2">
      <c r="C114" s="6"/>
    </row>
    <row r="115" spans="3:3" x14ac:dyDescent="0.2">
      <c r="C115" s="6"/>
    </row>
    <row r="116" spans="3:3" x14ac:dyDescent="0.2">
      <c r="C116" s="6"/>
    </row>
    <row r="117" spans="3:3" x14ac:dyDescent="0.2">
      <c r="C117" s="6"/>
    </row>
    <row r="118" spans="3:3" x14ac:dyDescent="0.2">
      <c r="C118" s="6"/>
    </row>
    <row r="119" spans="3:3" x14ac:dyDescent="0.2">
      <c r="C119" s="6"/>
    </row>
    <row r="120" spans="3:3" x14ac:dyDescent="0.2">
      <c r="C120" s="6"/>
    </row>
    <row r="121" spans="3:3" x14ac:dyDescent="0.2">
      <c r="C121" s="6"/>
    </row>
    <row r="122" spans="3:3" x14ac:dyDescent="0.2">
      <c r="C122" s="6"/>
    </row>
    <row r="123" spans="3:3" x14ac:dyDescent="0.2">
      <c r="C123" s="6"/>
    </row>
    <row r="124" spans="3:3" x14ac:dyDescent="0.2">
      <c r="C124" s="6"/>
    </row>
    <row r="125" spans="3:3" x14ac:dyDescent="0.2">
      <c r="C125" s="6"/>
    </row>
    <row r="126" spans="3:3" x14ac:dyDescent="0.2">
      <c r="C126" s="6"/>
    </row>
    <row r="127" spans="3:3" x14ac:dyDescent="0.2">
      <c r="C127" s="6"/>
    </row>
    <row r="128" spans="3:3" x14ac:dyDescent="0.2">
      <c r="C128" s="6"/>
    </row>
    <row r="129" spans="3:3" x14ac:dyDescent="0.2">
      <c r="C129" s="6"/>
    </row>
    <row r="130" spans="3:3" x14ac:dyDescent="0.2">
      <c r="C130" s="6"/>
    </row>
    <row r="131" spans="3:3" x14ac:dyDescent="0.2">
      <c r="C131" s="6"/>
    </row>
    <row r="132" spans="3:3" x14ac:dyDescent="0.2">
      <c r="C132" s="6"/>
    </row>
    <row r="133" spans="3:3" x14ac:dyDescent="0.2">
      <c r="C133" s="6"/>
    </row>
    <row r="134" spans="3:3" x14ac:dyDescent="0.2">
      <c r="C134" s="6"/>
    </row>
    <row r="135" spans="3:3" x14ac:dyDescent="0.2">
      <c r="C135" s="6"/>
    </row>
    <row r="136" spans="3:3" x14ac:dyDescent="0.2">
      <c r="C136" s="6"/>
    </row>
    <row r="137" spans="3:3" x14ac:dyDescent="0.2">
      <c r="C137" s="6"/>
    </row>
    <row r="138" spans="3:3" x14ac:dyDescent="0.2">
      <c r="C138" s="6"/>
    </row>
    <row r="139" spans="3:3" x14ac:dyDescent="0.2">
      <c r="C139" s="6"/>
    </row>
    <row r="140" spans="3:3" x14ac:dyDescent="0.2">
      <c r="C140" s="6"/>
    </row>
    <row r="141" spans="3:3" x14ac:dyDescent="0.2">
      <c r="C141" s="6"/>
    </row>
    <row r="142" spans="3:3" x14ac:dyDescent="0.2">
      <c r="C142" s="6"/>
    </row>
    <row r="143" spans="3:3" x14ac:dyDescent="0.2">
      <c r="C143" s="6"/>
    </row>
    <row r="144" spans="3:3" x14ac:dyDescent="0.2">
      <c r="C144" s="6"/>
    </row>
    <row r="145" spans="3:3" x14ac:dyDescent="0.2">
      <c r="C145" s="6"/>
    </row>
    <row r="146" spans="3:3" x14ac:dyDescent="0.2">
      <c r="C146" s="6"/>
    </row>
    <row r="147" spans="3:3" x14ac:dyDescent="0.2">
      <c r="C147" s="6"/>
    </row>
    <row r="148" spans="3:3" x14ac:dyDescent="0.2">
      <c r="C148" s="6"/>
    </row>
    <row r="149" spans="3:3" x14ac:dyDescent="0.2">
      <c r="C149" s="6"/>
    </row>
    <row r="150" spans="3:3" x14ac:dyDescent="0.2">
      <c r="C150" s="6"/>
    </row>
    <row r="151" spans="3:3" x14ac:dyDescent="0.2">
      <c r="C151" s="6"/>
    </row>
    <row r="152" spans="3:3" x14ac:dyDescent="0.2">
      <c r="C152" s="6"/>
    </row>
    <row r="153" spans="3:3" x14ac:dyDescent="0.2">
      <c r="C153" s="6"/>
    </row>
    <row r="154" spans="3:3" x14ac:dyDescent="0.2">
      <c r="C154" s="6"/>
    </row>
    <row r="155" spans="3:3" x14ac:dyDescent="0.2">
      <c r="C155" s="6"/>
    </row>
    <row r="156" spans="3:3" x14ac:dyDescent="0.2">
      <c r="C156" s="6"/>
    </row>
    <row r="157" spans="3:3" x14ac:dyDescent="0.2">
      <c r="C157" s="6"/>
    </row>
    <row r="158" spans="3:3" x14ac:dyDescent="0.2">
      <c r="C158" s="6"/>
    </row>
    <row r="159" spans="3:3" x14ac:dyDescent="0.2">
      <c r="C159" s="6"/>
    </row>
    <row r="160" spans="3:3" x14ac:dyDescent="0.2">
      <c r="C160" s="6"/>
    </row>
    <row r="161" spans="3:3" x14ac:dyDescent="0.2">
      <c r="C161" s="6"/>
    </row>
    <row r="162" spans="3:3" x14ac:dyDescent="0.2">
      <c r="C162" s="6"/>
    </row>
    <row r="163" spans="3:3" x14ac:dyDescent="0.2">
      <c r="C163" s="6"/>
    </row>
    <row r="164" spans="3:3" x14ac:dyDescent="0.2">
      <c r="C164" s="6"/>
    </row>
    <row r="165" spans="3:3" x14ac:dyDescent="0.2">
      <c r="C165" s="6"/>
    </row>
    <row r="166" spans="3:3" x14ac:dyDescent="0.2">
      <c r="C166" s="6"/>
    </row>
    <row r="167" spans="3:3" x14ac:dyDescent="0.2">
      <c r="C167" s="6"/>
    </row>
    <row r="168" spans="3:3" x14ac:dyDescent="0.2">
      <c r="C168" s="6"/>
    </row>
    <row r="169" spans="3:3" x14ac:dyDescent="0.2">
      <c r="C169" s="6"/>
    </row>
    <row r="170" spans="3:3" x14ac:dyDescent="0.2">
      <c r="C170" s="6"/>
    </row>
    <row r="171" spans="3:3" x14ac:dyDescent="0.2">
      <c r="C171" s="6"/>
    </row>
    <row r="172" spans="3:3" x14ac:dyDescent="0.2">
      <c r="C172" s="6"/>
    </row>
    <row r="173" spans="3:3" x14ac:dyDescent="0.2">
      <c r="C173" s="6"/>
    </row>
    <row r="174" spans="3:3" x14ac:dyDescent="0.2">
      <c r="C174" s="6"/>
    </row>
    <row r="175" spans="3:3" x14ac:dyDescent="0.2">
      <c r="C175" s="6"/>
    </row>
    <row r="176" spans="3:3" x14ac:dyDescent="0.2">
      <c r="C176" s="6"/>
    </row>
    <row r="177" spans="3:3" x14ac:dyDescent="0.2">
      <c r="C177" s="6"/>
    </row>
    <row r="178" spans="3:3" x14ac:dyDescent="0.2">
      <c r="C178" s="6"/>
    </row>
    <row r="179" spans="3:3" x14ac:dyDescent="0.2">
      <c r="C179" s="6"/>
    </row>
    <row r="180" spans="3:3" x14ac:dyDescent="0.2">
      <c r="C180" s="6"/>
    </row>
    <row r="181" spans="3:3" x14ac:dyDescent="0.2">
      <c r="C181" s="6"/>
    </row>
    <row r="182" spans="3:3" x14ac:dyDescent="0.2">
      <c r="C182" s="6"/>
    </row>
    <row r="183" spans="3:3" x14ac:dyDescent="0.2">
      <c r="C183" s="6"/>
    </row>
    <row r="184" spans="3:3" x14ac:dyDescent="0.2">
      <c r="C184" s="6"/>
    </row>
    <row r="185" spans="3:3" x14ac:dyDescent="0.2">
      <c r="C185" s="6"/>
    </row>
    <row r="186" spans="3:3" x14ac:dyDescent="0.2">
      <c r="C186" s="6"/>
    </row>
    <row r="187" spans="3:3" x14ac:dyDescent="0.2">
      <c r="C187" s="6"/>
    </row>
    <row r="188" spans="3:3" x14ac:dyDescent="0.2">
      <c r="C188" s="6"/>
    </row>
    <row r="189" spans="3:3" x14ac:dyDescent="0.2">
      <c r="C189" s="6"/>
    </row>
    <row r="190" spans="3:3" x14ac:dyDescent="0.2">
      <c r="C190" s="6"/>
    </row>
    <row r="191" spans="3:3" x14ac:dyDescent="0.2">
      <c r="C191" s="6"/>
    </row>
    <row r="192" spans="3:3" x14ac:dyDescent="0.2">
      <c r="C192" s="6"/>
    </row>
    <row r="193" spans="3:3" x14ac:dyDescent="0.2">
      <c r="C193" s="6"/>
    </row>
    <row r="194" spans="3:3" x14ac:dyDescent="0.2">
      <c r="C194" s="6"/>
    </row>
    <row r="195" spans="3:3" x14ac:dyDescent="0.2">
      <c r="C195" s="6"/>
    </row>
    <row r="196" spans="3:3" x14ac:dyDescent="0.2">
      <c r="C196" s="6"/>
    </row>
    <row r="197" spans="3:3" x14ac:dyDescent="0.2">
      <c r="C197" s="6"/>
    </row>
    <row r="198" spans="3:3" x14ac:dyDescent="0.2">
      <c r="C198" s="6"/>
    </row>
    <row r="199" spans="3:3" x14ac:dyDescent="0.2">
      <c r="C199" s="6"/>
    </row>
    <row r="200" spans="3:3" x14ac:dyDescent="0.2">
      <c r="C200" s="6"/>
    </row>
    <row r="201" spans="3:3" x14ac:dyDescent="0.2">
      <c r="C201" s="6"/>
    </row>
    <row r="202" spans="3:3" x14ac:dyDescent="0.2">
      <c r="C202" s="6"/>
    </row>
    <row r="203" spans="3:3" x14ac:dyDescent="0.2">
      <c r="C203" s="6"/>
    </row>
    <row r="204" spans="3:3" x14ac:dyDescent="0.2">
      <c r="C204" s="6"/>
    </row>
    <row r="205" spans="3:3" x14ac:dyDescent="0.2">
      <c r="C205" s="6"/>
    </row>
    <row r="206" spans="3:3" x14ac:dyDescent="0.2">
      <c r="C206" s="6"/>
    </row>
    <row r="207" spans="3:3" x14ac:dyDescent="0.2">
      <c r="C207" s="6"/>
    </row>
    <row r="208" spans="3:3" x14ac:dyDescent="0.2">
      <c r="C208" s="6"/>
    </row>
    <row r="209" spans="3:3" x14ac:dyDescent="0.2">
      <c r="C209" s="6"/>
    </row>
    <row r="210" spans="3:3" x14ac:dyDescent="0.2">
      <c r="C210" s="6"/>
    </row>
    <row r="211" spans="3:3" x14ac:dyDescent="0.2">
      <c r="C211" s="6"/>
    </row>
    <row r="212" spans="3:3" x14ac:dyDescent="0.2">
      <c r="C212" s="6"/>
    </row>
    <row r="213" spans="3:3" x14ac:dyDescent="0.2">
      <c r="C213" s="6"/>
    </row>
    <row r="214" spans="3:3" x14ac:dyDescent="0.2">
      <c r="C214" s="6"/>
    </row>
    <row r="215" spans="3:3" x14ac:dyDescent="0.2">
      <c r="C215" s="6"/>
    </row>
    <row r="216" spans="3:3" x14ac:dyDescent="0.2">
      <c r="C216" s="6"/>
    </row>
    <row r="217" spans="3:3" x14ac:dyDescent="0.2">
      <c r="C217" s="6"/>
    </row>
    <row r="218" spans="3:3" x14ac:dyDescent="0.2">
      <c r="C218" s="6"/>
    </row>
    <row r="219" spans="3:3" x14ac:dyDescent="0.2">
      <c r="C219" s="6"/>
    </row>
    <row r="220" spans="3:3" x14ac:dyDescent="0.2">
      <c r="C220" s="6"/>
    </row>
    <row r="221" spans="3:3" x14ac:dyDescent="0.2">
      <c r="C221" s="6"/>
    </row>
    <row r="222" spans="3:3" x14ac:dyDescent="0.2">
      <c r="C222" s="6"/>
    </row>
    <row r="234" spans="3:3" x14ac:dyDescent="0.2">
      <c r="C234" s="6"/>
    </row>
    <row r="235" spans="3:3" x14ac:dyDescent="0.2">
      <c r="C235" s="6"/>
    </row>
    <row r="236" spans="3:3" x14ac:dyDescent="0.2">
      <c r="C236" s="6"/>
    </row>
    <row r="237" spans="3:3" x14ac:dyDescent="0.2">
      <c r="C237" s="6"/>
    </row>
    <row r="238" spans="3:3" x14ac:dyDescent="0.2">
      <c r="C238" s="6"/>
    </row>
    <row r="239" spans="3:3" x14ac:dyDescent="0.2">
      <c r="C239" s="6"/>
    </row>
    <row r="240" spans="3:3" x14ac:dyDescent="0.2">
      <c r="C240" s="6"/>
    </row>
    <row r="241" spans="3:3" x14ac:dyDescent="0.2">
      <c r="C241" s="6"/>
    </row>
    <row r="242" spans="3:3" x14ac:dyDescent="0.2">
      <c r="C242" s="6"/>
    </row>
    <row r="243" spans="3:3" x14ac:dyDescent="0.2">
      <c r="C243" s="6"/>
    </row>
    <row r="244" spans="3:3" x14ac:dyDescent="0.2">
      <c r="C244" s="6"/>
    </row>
    <row r="245" spans="3:3" x14ac:dyDescent="0.2">
      <c r="C245" s="6"/>
    </row>
    <row r="246" spans="3:3" x14ac:dyDescent="0.2">
      <c r="C246" s="6"/>
    </row>
    <row r="247" spans="3:3" x14ac:dyDescent="0.2">
      <c r="C247" s="6"/>
    </row>
    <row r="248" spans="3:3" x14ac:dyDescent="0.2">
      <c r="C248" s="6"/>
    </row>
    <row r="249" spans="3:3" x14ac:dyDescent="0.2">
      <c r="C249" s="6"/>
    </row>
    <row r="250" spans="3:3" x14ac:dyDescent="0.2">
      <c r="C250" s="6"/>
    </row>
    <row r="251" spans="3:3" x14ac:dyDescent="0.2">
      <c r="C251" s="6"/>
    </row>
    <row r="252" spans="3:3" x14ac:dyDescent="0.2">
      <c r="C252" s="6"/>
    </row>
    <row r="253" spans="3:3" x14ac:dyDescent="0.2">
      <c r="C253" s="6"/>
    </row>
    <row r="254" spans="3:3" x14ac:dyDescent="0.2">
      <c r="C254" s="6"/>
    </row>
    <row r="255" spans="3:3" x14ac:dyDescent="0.2">
      <c r="C255" s="6"/>
    </row>
    <row r="256" spans="3:3" x14ac:dyDescent="0.2">
      <c r="C256" s="6"/>
    </row>
    <row r="257" spans="3:3" x14ac:dyDescent="0.2">
      <c r="C257" s="6"/>
    </row>
    <row r="258" spans="3:3" x14ac:dyDescent="0.2">
      <c r="C258" s="6"/>
    </row>
    <row r="259" spans="3:3" x14ac:dyDescent="0.2">
      <c r="C259" s="6"/>
    </row>
    <row r="260" spans="3:3" x14ac:dyDescent="0.2">
      <c r="C260" s="6"/>
    </row>
    <row r="261" spans="3:3" x14ac:dyDescent="0.2">
      <c r="C261" s="6"/>
    </row>
    <row r="262" spans="3:3" x14ac:dyDescent="0.2">
      <c r="C262" s="6"/>
    </row>
    <row r="263" spans="3:3" x14ac:dyDescent="0.2">
      <c r="C263" s="6"/>
    </row>
    <row r="264" spans="3:3" x14ac:dyDescent="0.2">
      <c r="C264" s="6"/>
    </row>
    <row r="265" spans="3:3" x14ac:dyDescent="0.2">
      <c r="C265" s="6"/>
    </row>
    <row r="266" spans="3:3" x14ac:dyDescent="0.2">
      <c r="C266" s="6"/>
    </row>
    <row r="267" spans="3:3" x14ac:dyDescent="0.2">
      <c r="C267" s="6"/>
    </row>
    <row r="268" spans="3:3" x14ac:dyDescent="0.2">
      <c r="C268" s="6"/>
    </row>
    <row r="269" spans="3:3" x14ac:dyDescent="0.2">
      <c r="C269" s="6"/>
    </row>
    <row r="270" spans="3:3" x14ac:dyDescent="0.2">
      <c r="C270" s="6"/>
    </row>
    <row r="271" spans="3:3" x14ac:dyDescent="0.2">
      <c r="C271" s="6"/>
    </row>
    <row r="272" spans="3:3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  <row r="276" spans="3:3" x14ac:dyDescent="0.2">
      <c r="C276" s="6"/>
    </row>
    <row r="277" spans="3:3" x14ac:dyDescent="0.2">
      <c r="C277" s="6"/>
    </row>
    <row r="278" spans="3:3" x14ac:dyDescent="0.2">
      <c r="C278" s="6"/>
    </row>
    <row r="279" spans="3:3" x14ac:dyDescent="0.2">
      <c r="C279" s="6"/>
    </row>
    <row r="280" spans="3:3" x14ac:dyDescent="0.2">
      <c r="C280" s="6"/>
    </row>
    <row r="281" spans="3:3" x14ac:dyDescent="0.2">
      <c r="C281" s="6"/>
    </row>
    <row r="282" spans="3:3" x14ac:dyDescent="0.2">
      <c r="C282" s="6"/>
    </row>
    <row r="283" spans="3:3" x14ac:dyDescent="0.2">
      <c r="C283" s="6"/>
    </row>
    <row r="284" spans="3:3" x14ac:dyDescent="0.2">
      <c r="C284" s="6"/>
    </row>
    <row r="285" spans="3:3" x14ac:dyDescent="0.2">
      <c r="C285" s="6"/>
    </row>
    <row r="286" spans="3:3" x14ac:dyDescent="0.2">
      <c r="C286" s="6"/>
    </row>
    <row r="287" spans="3:3" x14ac:dyDescent="0.2">
      <c r="C287" s="6"/>
    </row>
    <row r="288" spans="3:3" x14ac:dyDescent="0.2">
      <c r="C288" s="6"/>
    </row>
    <row r="289" spans="3:3" x14ac:dyDescent="0.2">
      <c r="C289" s="6"/>
    </row>
    <row r="290" spans="3:3" x14ac:dyDescent="0.2">
      <c r="C290" s="6"/>
    </row>
    <row r="291" spans="3:3" x14ac:dyDescent="0.2">
      <c r="C291" s="6"/>
    </row>
    <row r="292" spans="3:3" x14ac:dyDescent="0.2">
      <c r="C292" s="6"/>
    </row>
    <row r="293" spans="3:3" x14ac:dyDescent="0.2">
      <c r="C293" s="6"/>
    </row>
    <row r="294" spans="3:3" x14ac:dyDescent="0.2">
      <c r="C294" s="6"/>
    </row>
    <row r="295" spans="3:3" x14ac:dyDescent="0.2">
      <c r="C295" s="6"/>
    </row>
    <row r="296" spans="3:3" x14ac:dyDescent="0.2">
      <c r="C296" s="6"/>
    </row>
    <row r="297" spans="3:3" x14ac:dyDescent="0.2">
      <c r="C297" s="6"/>
    </row>
    <row r="298" spans="3:3" x14ac:dyDescent="0.2">
      <c r="C298" s="6"/>
    </row>
    <row r="299" spans="3:3" x14ac:dyDescent="0.2">
      <c r="C299" s="6"/>
    </row>
    <row r="300" spans="3:3" x14ac:dyDescent="0.2">
      <c r="C300" s="6"/>
    </row>
    <row r="301" spans="3:3" x14ac:dyDescent="0.2">
      <c r="C301" s="6"/>
    </row>
    <row r="302" spans="3:3" x14ac:dyDescent="0.2">
      <c r="C302" s="6"/>
    </row>
    <row r="303" spans="3:3" x14ac:dyDescent="0.2">
      <c r="C303" s="6"/>
    </row>
    <row r="304" spans="3:3" x14ac:dyDescent="0.2">
      <c r="C304" s="6"/>
    </row>
    <row r="305" spans="3:3" x14ac:dyDescent="0.2">
      <c r="C305" s="6"/>
    </row>
    <row r="306" spans="3:3" x14ac:dyDescent="0.2">
      <c r="C306" s="6"/>
    </row>
    <row r="307" spans="3:3" x14ac:dyDescent="0.2">
      <c r="C307" s="6"/>
    </row>
    <row r="308" spans="3:3" x14ac:dyDescent="0.2">
      <c r="C308" s="6"/>
    </row>
    <row r="309" spans="3:3" x14ac:dyDescent="0.2">
      <c r="C309" s="6"/>
    </row>
    <row r="310" spans="3:3" x14ac:dyDescent="0.2">
      <c r="C310" s="6"/>
    </row>
    <row r="311" spans="3:3" x14ac:dyDescent="0.2">
      <c r="C311" s="6"/>
    </row>
    <row r="312" spans="3:3" x14ac:dyDescent="0.2">
      <c r="C312" s="6"/>
    </row>
    <row r="313" spans="3:3" x14ac:dyDescent="0.2">
      <c r="C313" s="6"/>
    </row>
    <row r="314" spans="3:3" x14ac:dyDescent="0.2">
      <c r="C314" s="6"/>
    </row>
    <row r="315" spans="3:3" x14ac:dyDescent="0.2">
      <c r="C315" s="6"/>
    </row>
    <row r="316" spans="3:3" x14ac:dyDescent="0.2">
      <c r="C316" s="6"/>
    </row>
    <row r="317" spans="3:3" x14ac:dyDescent="0.2">
      <c r="C317" s="6"/>
    </row>
    <row r="318" spans="3:3" x14ac:dyDescent="0.2">
      <c r="C318" s="6"/>
    </row>
    <row r="319" spans="3:3" x14ac:dyDescent="0.2">
      <c r="C319" s="6"/>
    </row>
    <row r="320" spans="3:3" x14ac:dyDescent="0.2">
      <c r="C320" s="6"/>
    </row>
    <row r="321" spans="3:3" x14ac:dyDescent="0.2">
      <c r="C321" s="6"/>
    </row>
    <row r="322" spans="3:3" x14ac:dyDescent="0.2">
      <c r="C322" s="6"/>
    </row>
    <row r="323" spans="3:3" x14ac:dyDescent="0.2">
      <c r="C323" s="6"/>
    </row>
    <row r="324" spans="3:3" x14ac:dyDescent="0.2">
      <c r="C324" s="6"/>
    </row>
    <row r="325" spans="3:3" x14ac:dyDescent="0.2">
      <c r="C325" s="6"/>
    </row>
    <row r="326" spans="3:3" x14ac:dyDescent="0.2">
      <c r="C326" s="6"/>
    </row>
    <row r="327" spans="3:3" x14ac:dyDescent="0.2">
      <c r="C327" s="6"/>
    </row>
    <row r="328" spans="3:3" x14ac:dyDescent="0.2">
      <c r="C328" s="6"/>
    </row>
    <row r="329" spans="3:3" x14ac:dyDescent="0.2">
      <c r="C329" s="6"/>
    </row>
    <row r="330" spans="3:3" x14ac:dyDescent="0.2">
      <c r="C330" s="6"/>
    </row>
    <row r="331" spans="3:3" x14ac:dyDescent="0.2">
      <c r="C331" s="6"/>
    </row>
    <row r="332" spans="3:3" x14ac:dyDescent="0.2">
      <c r="C332" s="6"/>
    </row>
    <row r="333" spans="3:3" x14ac:dyDescent="0.2">
      <c r="C333" s="6"/>
    </row>
    <row r="334" spans="3:3" x14ac:dyDescent="0.2">
      <c r="C334" s="6"/>
    </row>
    <row r="335" spans="3:3" x14ac:dyDescent="0.2">
      <c r="C335" s="6"/>
    </row>
    <row r="336" spans="3:3" x14ac:dyDescent="0.2">
      <c r="C336" s="6"/>
    </row>
    <row r="337" spans="3:3" x14ac:dyDescent="0.2">
      <c r="C337" s="6"/>
    </row>
    <row r="338" spans="3:3" x14ac:dyDescent="0.2">
      <c r="C338" s="6"/>
    </row>
    <row r="339" spans="3:3" x14ac:dyDescent="0.2">
      <c r="C339" s="6"/>
    </row>
    <row r="340" spans="3:3" x14ac:dyDescent="0.2">
      <c r="C340" s="6"/>
    </row>
    <row r="341" spans="3:3" x14ac:dyDescent="0.2">
      <c r="C341" s="6"/>
    </row>
    <row r="342" spans="3:3" x14ac:dyDescent="0.2">
      <c r="C342" s="6"/>
    </row>
    <row r="343" spans="3:3" x14ac:dyDescent="0.2">
      <c r="C343" s="6"/>
    </row>
    <row r="344" spans="3:3" x14ac:dyDescent="0.2">
      <c r="C344" s="6"/>
    </row>
    <row r="345" spans="3:3" x14ac:dyDescent="0.2">
      <c r="C345" s="6"/>
    </row>
    <row r="346" spans="3:3" x14ac:dyDescent="0.2">
      <c r="C346" s="6"/>
    </row>
    <row r="347" spans="3:3" x14ac:dyDescent="0.2">
      <c r="C347" s="6"/>
    </row>
    <row r="348" spans="3:3" x14ac:dyDescent="0.2">
      <c r="C348" s="6"/>
    </row>
    <row r="349" spans="3:3" x14ac:dyDescent="0.2">
      <c r="C349" s="6"/>
    </row>
    <row r="350" spans="3:3" x14ac:dyDescent="0.2">
      <c r="C350" s="6"/>
    </row>
    <row r="351" spans="3:3" x14ac:dyDescent="0.2">
      <c r="C351" s="6"/>
    </row>
    <row r="352" spans="3:3" x14ac:dyDescent="0.2">
      <c r="C352" s="6"/>
    </row>
    <row r="353" spans="3:3" x14ac:dyDescent="0.2">
      <c r="C353" s="6"/>
    </row>
    <row r="354" spans="3:3" x14ac:dyDescent="0.2">
      <c r="C354" s="6"/>
    </row>
    <row r="355" spans="3:3" x14ac:dyDescent="0.2">
      <c r="C355" s="6"/>
    </row>
    <row r="356" spans="3:3" x14ac:dyDescent="0.2">
      <c r="C356" s="6"/>
    </row>
    <row r="357" spans="3:3" x14ac:dyDescent="0.2">
      <c r="C357" s="6"/>
    </row>
    <row r="358" spans="3:3" x14ac:dyDescent="0.2">
      <c r="C358" s="6"/>
    </row>
    <row r="359" spans="3:3" x14ac:dyDescent="0.2">
      <c r="C359" s="6"/>
    </row>
    <row r="360" spans="3:3" x14ac:dyDescent="0.2">
      <c r="C360" s="6"/>
    </row>
    <row r="361" spans="3:3" x14ac:dyDescent="0.2">
      <c r="C361" s="6"/>
    </row>
    <row r="362" spans="3:3" x14ac:dyDescent="0.2">
      <c r="C362" s="6"/>
    </row>
    <row r="363" spans="3:3" x14ac:dyDescent="0.2">
      <c r="C363" s="6"/>
    </row>
    <row r="364" spans="3:3" x14ac:dyDescent="0.2">
      <c r="C364" s="6"/>
    </row>
    <row r="365" spans="3:3" x14ac:dyDescent="0.2">
      <c r="C365" s="6"/>
    </row>
    <row r="366" spans="3:3" x14ac:dyDescent="0.2">
      <c r="C366" s="6"/>
    </row>
    <row r="367" spans="3:3" x14ac:dyDescent="0.2">
      <c r="C367" s="6"/>
    </row>
    <row r="368" spans="3:3" x14ac:dyDescent="0.2">
      <c r="C368" s="6"/>
    </row>
    <row r="369" spans="3:3" x14ac:dyDescent="0.2">
      <c r="C369" s="6"/>
    </row>
    <row r="370" spans="3:3" x14ac:dyDescent="0.2">
      <c r="C370" s="6"/>
    </row>
    <row r="371" spans="3:3" x14ac:dyDescent="0.2">
      <c r="C371" s="6"/>
    </row>
    <row r="372" spans="3:3" x14ac:dyDescent="0.2">
      <c r="C372" s="6"/>
    </row>
    <row r="373" spans="3:3" x14ac:dyDescent="0.2">
      <c r="C373" s="6"/>
    </row>
    <row r="374" spans="3:3" x14ac:dyDescent="0.2">
      <c r="C374" s="6"/>
    </row>
    <row r="375" spans="3:3" x14ac:dyDescent="0.2">
      <c r="C375" s="6"/>
    </row>
    <row r="376" spans="3:3" x14ac:dyDescent="0.2">
      <c r="C376" s="6"/>
    </row>
    <row r="377" spans="3:3" x14ac:dyDescent="0.2">
      <c r="C377" s="6"/>
    </row>
    <row r="378" spans="3:3" x14ac:dyDescent="0.2">
      <c r="C378" s="6"/>
    </row>
    <row r="379" spans="3:3" x14ac:dyDescent="0.2">
      <c r="C379" s="6"/>
    </row>
    <row r="380" spans="3:3" x14ac:dyDescent="0.2">
      <c r="C380" s="6"/>
    </row>
    <row r="381" spans="3:3" x14ac:dyDescent="0.2">
      <c r="C381" s="6"/>
    </row>
    <row r="382" spans="3:3" x14ac:dyDescent="0.2">
      <c r="C382" s="6"/>
    </row>
    <row r="383" spans="3:3" x14ac:dyDescent="0.2">
      <c r="C383" s="6"/>
    </row>
    <row r="384" spans="3:3" x14ac:dyDescent="0.2">
      <c r="C384" s="6"/>
    </row>
    <row r="385" spans="3:3" x14ac:dyDescent="0.2">
      <c r="C385" s="6"/>
    </row>
    <row r="386" spans="3:3" x14ac:dyDescent="0.2">
      <c r="C386" s="6"/>
    </row>
    <row r="387" spans="3:3" x14ac:dyDescent="0.2">
      <c r="C387" s="6"/>
    </row>
    <row r="388" spans="3:3" x14ac:dyDescent="0.2">
      <c r="C388" s="6"/>
    </row>
    <row r="389" spans="3:3" x14ac:dyDescent="0.2">
      <c r="C389" s="6"/>
    </row>
    <row r="390" spans="3:3" x14ac:dyDescent="0.2">
      <c r="C390" s="6"/>
    </row>
    <row r="391" spans="3:3" x14ac:dyDescent="0.2">
      <c r="C391" s="6"/>
    </row>
    <row r="392" spans="3:3" x14ac:dyDescent="0.2">
      <c r="C392" s="6"/>
    </row>
    <row r="393" spans="3:3" x14ac:dyDescent="0.2">
      <c r="C393" s="6"/>
    </row>
    <row r="394" spans="3:3" x14ac:dyDescent="0.2">
      <c r="C394" s="6"/>
    </row>
    <row r="395" spans="3:3" x14ac:dyDescent="0.2">
      <c r="C395" s="6"/>
    </row>
    <row r="396" spans="3:3" x14ac:dyDescent="0.2">
      <c r="C396" s="6"/>
    </row>
    <row r="397" spans="3:3" x14ac:dyDescent="0.2">
      <c r="C397" s="6"/>
    </row>
    <row r="398" spans="3:3" x14ac:dyDescent="0.2">
      <c r="C398" s="6"/>
    </row>
    <row r="399" spans="3:3" x14ac:dyDescent="0.2">
      <c r="C399" s="6"/>
    </row>
    <row r="400" spans="3:3" x14ac:dyDescent="0.2">
      <c r="C400" s="6"/>
    </row>
    <row r="401" spans="3:3" x14ac:dyDescent="0.2">
      <c r="C401" s="6"/>
    </row>
    <row r="402" spans="3:3" x14ac:dyDescent="0.2">
      <c r="C402" s="6"/>
    </row>
    <row r="403" spans="3:3" x14ac:dyDescent="0.2">
      <c r="C403" s="6"/>
    </row>
    <row r="404" spans="3:3" x14ac:dyDescent="0.2">
      <c r="C404" s="6"/>
    </row>
    <row r="405" spans="3:3" x14ac:dyDescent="0.2">
      <c r="C405" s="6"/>
    </row>
    <row r="406" spans="3:3" x14ac:dyDescent="0.2">
      <c r="C406" s="6"/>
    </row>
    <row r="407" spans="3:3" x14ac:dyDescent="0.2">
      <c r="C407" s="6"/>
    </row>
    <row r="408" spans="3:3" x14ac:dyDescent="0.2">
      <c r="C408" s="6"/>
    </row>
    <row r="409" spans="3:3" x14ac:dyDescent="0.2">
      <c r="C409" s="6"/>
    </row>
    <row r="410" spans="3:3" x14ac:dyDescent="0.2">
      <c r="C410" s="6"/>
    </row>
    <row r="411" spans="3:3" x14ac:dyDescent="0.2">
      <c r="C411" s="6"/>
    </row>
    <row r="412" spans="3:3" x14ac:dyDescent="0.2">
      <c r="C412" s="6"/>
    </row>
    <row r="413" spans="3:3" x14ac:dyDescent="0.2">
      <c r="C413" s="6"/>
    </row>
    <row r="414" spans="3:3" x14ac:dyDescent="0.2">
      <c r="C414" s="6"/>
    </row>
    <row r="415" spans="3:3" x14ac:dyDescent="0.2">
      <c r="C415" s="6"/>
    </row>
    <row r="416" spans="3:3" x14ac:dyDescent="0.2">
      <c r="C416" s="6"/>
    </row>
    <row r="417" spans="3:3" x14ac:dyDescent="0.2">
      <c r="C417" s="6"/>
    </row>
    <row r="418" spans="3:3" x14ac:dyDescent="0.2">
      <c r="C418" s="6"/>
    </row>
    <row r="419" spans="3:3" x14ac:dyDescent="0.2">
      <c r="C419" s="6"/>
    </row>
    <row r="420" spans="3:3" x14ac:dyDescent="0.2">
      <c r="C420" s="6"/>
    </row>
    <row r="421" spans="3:3" x14ac:dyDescent="0.2">
      <c r="C421" s="6"/>
    </row>
    <row r="422" spans="3:3" x14ac:dyDescent="0.2">
      <c r="C422" s="6"/>
    </row>
    <row r="423" spans="3:3" x14ac:dyDescent="0.2">
      <c r="C423" s="6"/>
    </row>
    <row r="424" spans="3:3" x14ac:dyDescent="0.2">
      <c r="C424" s="6"/>
    </row>
    <row r="425" spans="3:3" x14ac:dyDescent="0.2">
      <c r="C425" s="6"/>
    </row>
    <row r="426" spans="3:3" x14ac:dyDescent="0.2">
      <c r="C426" s="6"/>
    </row>
    <row r="427" spans="3:3" x14ac:dyDescent="0.2">
      <c r="C427" s="6"/>
    </row>
    <row r="428" spans="3:3" x14ac:dyDescent="0.2">
      <c r="C428" s="6"/>
    </row>
    <row r="429" spans="3:3" x14ac:dyDescent="0.2">
      <c r="C429" s="6"/>
    </row>
    <row r="430" spans="3:3" x14ac:dyDescent="0.2">
      <c r="C430" s="6"/>
    </row>
    <row r="431" spans="3:3" x14ac:dyDescent="0.2">
      <c r="C431" s="6"/>
    </row>
    <row r="432" spans="3:3" x14ac:dyDescent="0.2">
      <c r="C432" s="6"/>
    </row>
    <row r="433" spans="3:3" x14ac:dyDescent="0.2">
      <c r="C433" s="6"/>
    </row>
    <row r="434" spans="3:3" x14ac:dyDescent="0.2">
      <c r="C434" s="6"/>
    </row>
    <row r="435" spans="3:3" x14ac:dyDescent="0.2">
      <c r="C435" s="6"/>
    </row>
    <row r="436" spans="3:3" x14ac:dyDescent="0.2">
      <c r="C436" s="6"/>
    </row>
    <row r="437" spans="3:3" x14ac:dyDescent="0.2">
      <c r="C437" s="6"/>
    </row>
    <row r="438" spans="3:3" x14ac:dyDescent="0.2">
      <c r="C438" s="6"/>
    </row>
    <row r="439" spans="3:3" x14ac:dyDescent="0.2">
      <c r="C439" s="6"/>
    </row>
    <row r="440" spans="3:3" x14ac:dyDescent="0.2">
      <c r="C440" s="6"/>
    </row>
    <row r="441" spans="3:3" x14ac:dyDescent="0.2">
      <c r="C441" s="6"/>
    </row>
    <row r="442" spans="3:3" x14ac:dyDescent="0.2">
      <c r="C442" s="6"/>
    </row>
    <row r="443" spans="3:3" x14ac:dyDescent="0.2">
      <c r="C443" s="6"/>
    </row>
    <row r="444" spans="3:3" x14ac:dyDescent="0.2">
      <c r="C444" s="6"/>
    </row>
    <row r="445" spans="3:3" x14ac:dyDescent="0.2">
      <c r="C445" s="6"/>
    </row>
    <row r="446" spans="3:3" x14ac:dyDescent="0.2">
      <c r="C446" s="6"/>
    </row>
    <row r="447" spans="3:3" x14ac:dyDescent="0.2">
      <c r="C447" s="6"/>
    </row>
    <row r="448" spans="3:3" x14ac:dyDescent="0.2">
      <c r="C448" s="6"/>
    </row>
    <row r="449" spans="3:3" x14ac:dyDescent="0.2">
      <c r="C449" s="6"/>
    </row>
    <row r="450" spans="3:3" x14ac:dyDescent="0.2">
      <c r="C450" s="6"/>
    </row>
    <row r="451" spans="3:3" x14ac:dyDescent="0.2">
      <c r="C451" s="6"/>
    </row>
    <row r="452" spans="3:3" x14ac:dyDescent="0.2">
      <c r="C452" s="6"/>
    </row>
    <row r="453" spans="3:3" x14ac:dyDescent="0.2">
      <c r="C453" s="6"/>
    </row>
    <row r="454" spans="3:3" x14ac:dyDescent="0.2">
      <c r="C454" s="6"/>
    </row>
    <row r="455" spans="3:3" x14ac:dyDescent="0.2">
      <c r="C455" s="6"/>
    </row>
    <row r="456" spans="3:3" x14ac:dyDescent="0.2">
      <c r="C456" s="6"/>
    </row>
    <row r="457" spans="3:3" x14ac:dyDescent="0.2">
      <c r="C457" s="6"/>
    </row>
    <row r="458" spans="3:3" x14ac:dyDescent="0.2">
      <c r="C458" s="6"/>
    </row>
    <row r="459" spans="3:3" x14ac:dyDescent="0.2">
      <c r="C459" s="6"/>
    </row>
    <row r="460" spans="3:3" x14ac:dyDescent="0.2">
      <c r="C460" s="6"/>
    </row>
    <row r="461" spans="3:3" x14ac:dyDescent="0.2">
      <c r="C461" s="6"/>
    </row>
    <row r="462" spans="3:3" x14ac:dyDescent="0.2">
      <c r="C462" s="6"/>
    </row>
    <row r="463" spans="3:3" x14ac:dyDescent="0.2">
      <c r="C463" s="6"/>
    </row>
    <row r="464" spans="3:3" x14ac:dyDescent="0.2">
      <c r="C464" s="6"/>
    </row>
    <row r="465" spans="3:3" x14ac:dyDescent="0.2">
      <c r="C465" s="6"/>
    </row>
    <row r="466" spans="3:3" x14ac:dyDescent="0.2">
      <c r="C466" s="6"/>
    </row>
    <row r="467" spans="3:3" x14ac:dyDescent="0.2">
      <c r="C467" s="6"/>
    </row>
    <row r="468" spans="3:3" x14ac:dyDescent="0.2">
      <c r="C468" s="6"/>
    </row>
    <row r="469" spans="3:3" x14ac:dyDescent="0.2">
      <c r="C469" s="6"/>
    </row>
    <row r="470" spans="3:3" x14ac:dyDescent="0.2">
      <c r="C470" s="6"/>
    </row>
    <row r="471" spans="3:3" x14ac:dyDescent="0.2">
      <c r="C471" s="6"/>
    </row>
    <row r="472" spans="3:3" x14ac:dyDescent="0.2">
      <c r="C472" s="6"/>
    </row>
    <row r="473" spans="3:3" x14ac:dyDescent="0.2">
      <c r="C473" s="6"/>
    </row>
    <row r="474" spans="3:3" x14ac:dyDescent="0.2">
      <c r="C474" s="6"/>
    </row>
    <row r="475" spans="3:3" x14ac:dyDescent="0.2">
      <c r="C475" s="6"/>
    </row>
    <row r="476" spans="3:3" x14ac:dyDescent="0.2">
      <c r="C476" s="6"/>
    </row>
    <row r="477" spans="3:3" x14ac:dyDescent="0.2">
      <c r="C477" s="6"/>
    </row>
    <row r="478" spans="3:3" x14ac:dyDescent="0.2">
      <c r="C478" s="6"/>
    </row>
    <row r="479" spans="3:3" x14ac:dyDescent="0.2">
      <c r="C479" s="6"/>
    </row>
    <row r="480" spans="3:3" x14ac:dyDescent="0.2">
      <c r="C480" s="6"/>
    </row>
    <row r="481" spans="3:3" x14ac:dyDescent="0.2">
      <c r="C481" s="6"/>
    </row>
    <row r="482" spans="3:3" x14ac:dyDescent="0.2">
      <c r="C482" s="6"/>
    </row>
    <row r="483" spans="3:3" x14ac:dyDescent="0.2">
      <c r="C483" s="6"/>
    </row>
    <row r="484" spans="3:3" x14ac:dyDescent="0.2">
      <c r="C484" s="6"/>
    </row>
    <row r="485" spans="3:3" x14ac:dyDescent="0.2">
      <c r="C485" s="6"/>
    </row>
    <row r="486" spans="3:3" x14ac:dyDescent="0.2">
      <c r="C486" s="6"/>
    </row>
    <row r="487" spans="3:3" x14ac:dyDescent="0.2">
      <c r="C487" s="6"/>
    </row>
    <row r="488" spans="3:3" x14ac:dyDescent="0.2">
      <c r="C488" s="6"/>
    </row>
    <row r="489" spans="3:3" x14ac:dyDescent="0.2">
      <c r="C489" s="6"/>
    </row>
    <row r="490" spans="3:3" x14ac:dyDescent="0.2">
      <c r="C490" s="6"/>
    </row>
    <row r="491" spans="3:3" x14ac:dyDescent="0.2">
      <c r="C491" s="6"/>
    </row>
    <row r="492" spans="3:3" x14ac:dyDescent="0.2">
      <c r="C492" s="6"/>
    </row>
    <row r="493" spans="3:3" x14ac:dyDescent="0.2">
      <c r="C493" s="6"/>
    </row>
    <row r="494" spans="3:3" x14ac:dyDescent="0.2">
      <c r="C494" s="6"/>
    </row>
    <row r="495" spans="3:3" x14ac:dyDescent="0.2">
      <c r="C495" s="6"/>
    </row>
    <row r="496" spans="3:3" x14ac:dyDescent="0.2">
      <c r="C496" s="6"/>
    </row>
    <row r="497" spans="3:3" x14ac:dyDescent="0.2">
      <c r="C497" s="6"/>
    </row>
    <row r="498" spans="3:3" x14ac:dyDescent="0.2">
      <c r="C498" s="6"/>
    </row>
    <row r="499" spans="3:3" x14ac:dyDescent="0.2">
      <c r="C499" s="6"/>
    </row>
    <row r="500" spans="3:3" x14ac:dyDescent="0.2">
      <c r="C500" s="6"/>
    </row>
    <row r="501" spans="3:3" x14ac:dyDescent="0.2">
      <c r="C501" s="6"/>
    </row>
    <row r="502" spans="3:3" x14ac:dyDescent="0.2">
      <c r="C502" s="6"/>
    </row>
    <row r="503" spans="3:3" x14ac:dyDescent="0.2">
      <c r="C503" s="6"/>
    </row>
    <row r="504" spans="3:3" x14ac:dyDescent="0.2">
      <c r="C504" s="6"/>
    </row>
    <row r="505" spans="3:3" x14ac:dyDescent="0.2">
      <c r="C505" s="6"/>
    </row>
    <row r="506" spans="3:3" x14ac:dyDescent="0.2">
      <c r="C506" s="6"/>
    </row>
    <row r="507" spans="3:3" x14ac:dyDescent="0.2">
      <c r="C507" s="6"/>
    </row>
    <row r="508" spans="3:3" x14ac:dyDescent="0.2">
      <c r="C508" s="6"/>
    </row>
    <row r="509" spans="3:3" x14ac:dyDescent="0.2">
      <c r="C509" s="6"/>
    </row>
    <row r="510" spans="3:3" x14ac:dyDescent="0.2">
      <c r="C510" s="6"/>
    </row>
    <row r="511" spans="3:3" x14ac:dyDescent="0.2">
      <c r="C511" s="6"/>
    </row>
    <row r="512" spans="3:3" x14ac:dyDescent="0.2">
      <c r="C512" s="6"/>
    </row>
    <row r="513" spans="3:3" x14ac:dyDescent="0.2">
      <c r="C513" s="6"/>
    </row>
    <row r="514" spans="3:3" x14ac:dyDescent="0.2">
      <c r="C514" s="6"/>
    </row>
    <row r="515" spans="3:3" x14ac:dyDescent="0.2">
      <c r="C515" s="6"/>
    </row>
    <row r="516" spans="3:3" x14ac:dyDescent="0.2">
      <c r="C516" s="6"/>
    </row>
    <row r="517" spans="3:3" x14ac:dyDescent="0.2">
      <c r="C517" s="6"/>
    </row>
    <row r="518" spans="3:3" x14ac:dyDescent="0.2">
      <c r="C518" s="6"/>
    </row>
    <row r="519" spans="3:3" x14ac:dyDescent="0.2">
      <c r="C519" s="6"/>
    </row>
    <row r="520" spans="3:3" x14ac:dyDescent="0.2">
      <c r="C520" s="6"/>
    </row>
    <row r="521" spans="3:3" x14ac:dyDescent="0.2">
      <c r="C521" s="6"/>
    </row>
    <row r="522" spans="3:3" x14ac:dyDescent="0.2">
      <c r="C522" s="6"/>
    </row>
    <row r="523" spans="3:3" x14ac:dyDescent="0.2">
      <c r="C523" s="6"/>
    </row>
    <row r="524" spans="3:3" x14ac:dyDescent="0.2">
      <c r="C524" s="6"/>
    </row>
    <row r="525" spans="3:3" x14ac:dyDescent="0.2">
      <c r="C525" s="6"/>
    </row>
    <row r="526" spans="3:3" x14ac:dyDescent="0.2">
      <c r="C526" s="6"/>
    </row>
    <row r="527" spans="3:3" x14ac:dyDescent="0.2">
      <c r="C527" s="6"/>
    </row>
    <row r="528" spans="3:3" x14ac:dyDescent="0.2">
      <c r="C528" s="6"/>
    </row>
    <row r="529" spans="3:3" x14ac:dyDescent="0.2">
      <c r="C529" s="6"/>
    </row>
    <row r="530" spans="3:3" x14ac:dyDescent="0.2">
      <c r="C530" s="6"/>
    </row>
    <row r="531" spans="3:3" x14ac:dyDescent="0.2">
      <c r="C531" s="6"/>
    </row>
    <row r="532" spans="3:3" x14ac:dyDescent="0.2">
      <c r="C532" s="6"/>
    </row>
    <row r="533" spans="3:3" x14ac:dyDescent="0.2">
      <c r="C533" s="6"/>
    </row>
    <row r="534" spans="3:3" x14ac:dyDescent="0.2">
      <c r="C534" s="6"/>
    </row>
    <row r="535" spans="3:3" x14ac:dyDescent="0.2">
      <c r="C535" s="6"/>
    </row>
    <row r="536" spans="3:3" x14ac:dyDescent="0.2">
      <c r="C536" s="6"/>
    </row>
    <row r="537" spans="3:3" x14ac:dyDescent="0.2">
      <c r="C537" s="6"/>
    </row>
    <row r="538" spans="3:3" x14ac:dyDescent="0.2">
      <c r="C538" s="6"/>
    </row>
    <row r="539" spans="3:3" x14ac:dyDescent="0.2">
      <c r="C539" s="6"/>
    </row>
    <row r="540" spans="3:3" x14ac:dyDescent="0.2">
      <c r="C540" s="6"/>
    </row>
    <row r="541" spans="3:3" x14ac:dyDescent="0.2">
      <c r="C541" s="6"/>
    </row>
    <row r="542" spans="3:3" x14ac:dyDescent="0.2">
      <c r="C542" s="6"/>
    </row>
    <row r="543" spans="3:3" x14ac:dyDescent="0.2">
      <c r="C543" s="6"/>
    </row>
    <row r="544" spans="3:3" x14ac:dyDescent="0.2">
      <c r="C544" s="6"/>
    </row>
    <row r="545" spans="3:3" x14ac:dyDescent="0.2">
      <c r="C545" s="6"/>
    </row>
    <row r="546" spans="3:3" x14ac:dyDescent="0.2">
      <c r="C546" s="6"/>
    </row>
    <row r="547" spans="3:3" x14ac:dyDescent="0.2">
      <c r="C547" s="6"/>
    </row>
    <row r="548" spans="3:3" x14ac:dyDescent="0.2">
      <c r="C548" s="6"/>
    </row>
    <row r="549" spans="3:3" x14ac:dyDescent="0.2">
      <c r="C549" s="6"/>
    </row>
    <row r="550" spans="3:3" x14ac:dyDescent="0.2">
      <c r="C550" s="6"/>
    </row>
    <row r="551" spans="3:3" x14ac:dyDescent="0.2">
      <c r="C551" s="6"/>
    </row>
    <row r="552" spans="3:3" x14ac:dyDescent="0.2">
      <c r="C552" s="6"/>
    </row>
    <row r="553" spans="3:3" x14ac:dyDescent="0.2">
      <c r="C553" s="6"/>
    </row>
    <row r="554" spans="3:3" x14ac:dyDescent="0.2">
      <c r="C554" s="6"/>
    </row>
    <row r="555" spans="3:3" x14ac:dyDescent="0.2">
      <c r="C555" s="6"/>
    </row>
    <row r="556" spans="3:3" x14ac:dyDescent="0.2">
      <c r="C556" s="6"/>
    </row>
    <row r="557" spans="3:3" x14ac:dyDescent="0.2">
      <c r="C557" s="6"/>
    </row>
    <row r="558" spans="3:3" x14ac:dyDescent="0.2">
      <c r="C558" s="6"/>
    </row>
    <row r="559" spans="3:3" x14ac:dyDescent="0.2">
      <c r="C559" s="6"/>
    </row>
    <row r="560" spans="3:3" x14ac:dyDescent="0.2">
      <c r="C560" s="6"/>
    </row>
    <row r="561" spans="3:3" x14ac:dyDescent="0.2">
      <c r="C561" s="6"/>
    </row>
    <row r="562" spans="3:3" x14ac:dyDescent="0.2">
      <c r="C562" s="6"/>
    </row>
    <row r="563" spans="3:3" x14ac:dyDescent="0.2">
      <c r="C563" s="6"/>
    </row>
    <row r="564" spans="3:3" x14ac:dyDescent="0.2">
      <c r="C564" s="6"/>
    </row>
    <row r="565" spans="3:3" x14ac:dyDescent="0.2">
      <c r="C565" s="6"/>
    </row>
    <row r="566" spans="3:3" x14ac:dyDescent="0.2">
      <c r="C566" s="6"/>
    </row>
    <row r="567" spans="3:3" x14ac:dyDescent="0.2">
      <c r="C567" s="6"/>
    </row>
    <row r="568" spans="3:3" x14ac:dyDescent="0.2">
      <c r="C568" s="6"/>
    </row>
    <row r="569" spans="3:3" x14ac:dyDescent="0.2">
      <c r="C569" s="6"/>
    </row>
    <row r="570" spans="3:3" x14ac:dyDescent="0.2">
      <c r="C570" s="6"/>
    </row>
    <row r="571" spans="3:3" x14ac:dyDescent="0.2">
      <c r="C571" s="6"/>
    </row>
    <row r="572" spans="3:3" x14ac:dyDescent="0.2">
      <c r="C572" s="6"/>
    </row>
    <row r="573" spans="3:3" x14ac:dyDescent="0.2">
      <c r="C573" s="6"/>
    </row>
    <row r="574" spans="3:3" x14ac:dyDescent="0.2">
      <c r="C574" s="6"/>
    </row>
    <row r="575" spans="3:3" x14ac:dyDescent="0.2">
      <c r="C575" s="6"/>
    </row>
    <row r="576" spans="3:3" x14ac:dyDescent="0.2">
      <c r="C576" s="6"/>
    </row>
    <row r="577" spans="3:3" x14ac:dyDescent="0.2">
      <c r="C577" s="6"/>
    </row>
    <row r="578" spans="3:3" x14ac:dyDescent="0.2">
      <c r="C578" s="6"/>
    </row>
    <row r="579" spans="3:3" x14ac:dyDescent="0.2">
      <c r="C579" s="6"/>
    </row>
    <row r="580" spans="3:3" x14ac:dyDescent="0.2">
      <c r="C580" s="6"/>
    </row>
    <row r="581" spans="3:3" x14ac:dyDescent="0.2">
      <c r="C581" s="6"/>
    </row>
    <row r="582" spans="3:3" x14ac:dyDescent="0.2">
      <c r="C582" s="6"/>
    </row>
    <row r="583" spans="3:3" x14ac:dyDescent="0.2">
      <c r="C583" s="6"/>
    </row>
    <row r="584" spans="3:3" x14ac:dyDescent="0.2">
      <c r="C584" s="6"/>
    </row>
    <row r="585" spans="3:3" x14ac:dyDescent="0.2">
      <c r="C585" s="6"/>
    </row>
    <row r="586" spans="3:3" x14ac:dyDescent="0.2">
      <c r="C586" s="6"/>
    </row>
    <row r="587" spans="3:3" x14ac:dyDescent="0.2">
      <c r="C587" s="6"/>
    </row>
    <row r="588" spans="3:3" x14ac:dyDescent="0.2">
      <c r="C588" s="6"/>
    </row>
    <row r="589" spans="3:3" x14ac:dyDescent="0.2">
      <c r="C589" s="6"/>
    </row>
    <row r="590" spans="3:3" x14ac:dyDescent="0.2">
      <c r="C590" s="6"/>
    </row>
    <row r="591" spans="3:3" x14ac:dyDescent="0.2">
      <c r="C591" s="6"/>
    </row>
    <row r="592" spans="3:3" x14ac:dyDescent="0.2">
      <c r="C592" s="6"/>
    </row>
    <row r="593" spans="3:3" x14ac:dyDescent="0.2">
      <c r="C593" s="6"/>
    </row>
    <row r="594" spans="3:3" x14ac:dyDescent="0.2">
      <c r="C594" s="6"/>
    </row>
    <row r="595" spans="3:3" x14ac:dyDescent="0.2">
      <c r="C595" s="6"/>
    </row>
    <row r="596" spans="3:3" x14ac:dyDescent="0.2">
      <c r="C596" s="6"/>
    </row>
    <row r="597" spans="3:3" x14ac:dyDescent="0.2">
      <c r="C597" s="6"/>
    </row>
    <row r="598" spans="3:3" x14ac:dyDescent="0.2">
      <c r="C598" s="6"/>
    </row>
    <row r="599" spans="3:3" x14ac:dyDescent="0.2">
      <c r="C599" s="6"/>
    </row>
    <row r="600" spans="3:3" x14ac:dyDescent="0.2">
      <c r="C600" s="6"/>
    </row>
    <row r="601" spans="3:3" x14ac:dyDescent="0.2">
      <c r="C601" s="6"/>
    </row>
    <row r="602" spans="3:3" x14ac:dyDescent="0.2">
      <c r="C602" s="6"/>
    </row>
    <row r="603" spans="3:3" x14ac:dyDescent="0.2">
      <c r="C603" s="6"/>
    </row>
    <row r="604" spans="3:3" x14ac:dyDescent="0.2">
      <c r="C604" s="6"/>
    </row>
    <row r="605" spans="3:3" x14ac:dyDescent="0.2">
      <c r="C605" s="6"/>
    </row>
    <row r="606" spans="3:3" x14ac:dyDescent="0.2">
      <c r="C606" s="6"/>
    </row>
    <row r="607" spans="3:3" x14ac:dyDescent="0.2">
      <c r="C607" s="6"/>
    </row>
    <row r="608" spans="3:3" x14ac:dyDescent="0.2">
      <c r="C608" s="6"/>
    </row>
    <row r="609" spans="3:3" x14ac:dyDescent="0.2">
      <c r="C609" s="6"/>
    </row>
    <row r="610" spans="3:3" x14ac:dyDescent="0.2">
      <c r="C610" s="6"/>
    </row>
    <row r="611" spans="3:3" x14ac:dyDescent="0.2">
      <c r="C611" s="6"/>
    </row>
    <row r="612" spans="3:3" x14ac:dyDescent="0.2">
      <c r="C612" s="6"/>
    </row>
    <row r="613" spans="3:3" x14ac:dyDescent="0.2">
      <c r="C613" s="6"/>
    </row>
    <row r="614" spans="3:3" x14ac:dyDescent="0.2">
      <c r="C614" s="6"/>
    </row>
    <row r="615" spans="3:3" x14ac:dyDescent="0.2">
      <c r="C615" s="6"/>
    </row>
    <row r="616" spans="3:3" x14ac:dyDescent="0.2">
      <c r="C616" s="6"/>
    </row>
    <row r="617" spans="3:3" x14ac:dyDescent="0.2">
      <c r="C617" s="6"/>
    </row>
    <row r="618" spans="3:3" x14ac:dyDescent="0.2">
      <c r="C618" s="6"/>
    </row>
    <row r="619" spans="3:3" x14ac:dyDescent="0.2">
      <c r="C619" s="6"/>
    </row>
    <row r="620" spans="3:3" x14ac:dyDescent="0.2">
      <c r="C620" s="6"/>
    </row>
    <row r="621" spans="3:3" x14ac:dyDescent="0.2">
      <c r="C621" s="6"/>
    </row>
    <row r="622" spans="3:3" x14ac:dyDescent="0.2">
      <c r="C622" s="6"/>
    </row>
    <row r="623" spans="3:3" x14ac:dyDescent="0.2">
      <c r="C623" s="6"/>
    </row>
    <row r="624" spans="3:3" x14ac:dyDescent="0.2">
      <c r="C624" s="6"/>
    </row>
    <row r="625" spans="3:3" x14ac:dyDescent="0.2">
      <c r="C625" s="6"/>
    </row>
    <row r="626" spans="3:3" x14ac:dyDescent="0.2">
      <c r="C626" s="6"/>
    </row>
    <row r="627" spans="3:3" x14ac:dyDescent="0.2">
      <c r="C627" s="6"/>
    </row>
    <row r="628" spans="3:3" x14ac:dyDescent="0.2">
      <c r="C628" s="6"/>
    </row>
    <row r="629" spans="3:3" x14ac:dyDescent="0.2">
      <c r="C629" s="6"/>
    </row>
    <row r="630" spans="3:3" x14ac:dyDescent="0.2">
      <c r="C630" s="6"/>
    </row>
    <row r="631" spans="3:3" x14ac:dyDescent="0.2">
      <c r="C631" s="6"/>
    </row>
    <row r="632" spans="3:3" x14ac:dyDescent="0.2">
      <c r="C632" s="6"/>
    </row>
    <row r="633" spans="3:3" x14ac:dyDescent="0.2">
      <c r="C633" s="6"/>
    </row>
    <row r="634" spans="3:3" x14ac:dyDescent="0.2">
      <c r="C634" s="6"/>
    </row>
    <row r="635" spans="3:3" x14ac:dyDescent="0.2">
      <c r="C635" s="6"/>
    </row>
    <row r="636" spans="3:3" x14ac:dyDescent="0.2">
      <c r="C636" s="6"/>
    </row>
    <row r="637" spans="3:3" x14ac:dyDescent="0.2">
      <c r="C637" s="6"/>
    </row>
    <row r="638" spans="3:3" x14ac:dyDescent="0.2">
      <c r="C638" s="6"/>
    </row>
    <row r="639" spans="3:3" x14ac:dyDescent="0.2">
      <c r="C639" s="6"/>
    </row>
    <row r="640" spans="3:3" x14ac:dyDescent="0.2">
      <c r="C640" s="6"/>
    </row>
    <row r="641" spans="3:3" x14ac:dyDescent="0.2">
      <c r="C641" s="6"/>
    </row>
    <row r="642" spans="3:3" x14ac:dyDescent="0.2">
      <c r="C642" s="6"/>
    </row>
    <row r="643" spans="3:3" x14ac:dyDescent="0.2">
      <c r="C643" s="6"/>
    </row>
    <row r="644" spans="3:3" x14ac:dyDescent="0.2">
      <c r="C644" s="6"/>
    </row>
    <row r="645" spans="3:3" x14ac:dyDescent="0.2">
      <c r="C645" s="6"/>
    </row>
    <row r="646" spans="3:3" x14ac:dyDescent="0.2">
      <c r="C646" s="6"/>
    </row>
    <row r="647" spans="3:3" x14ac:dyDescent="0.2">
      <c r="C647" s="6"/>
    </row>
    <row r="648" spans="3:3" x14ac:dyDescent="0.2">
      <c r="C648" s="6"/>
    </row>
    <row r="649" spans="3:3" x14ac:dyDescent="0.2">
      <c r="C649" s="6"/>
    </row>
    <row r="650" spans="3:3" x14ac:dyDescent="0.2">
      <c r="C650" s="6"/>
    </row>
    <row r="651" spans="3:3" x14ac:dyDescent="0.2">
      <c r="C651" s="6"/>
    </row>
    <row r="652" spans="3:3" x14ac:dyDescent="0.2">
      <c r="C652" s="6"/>
    </row>
    <row r="653" spans="3:3" x14ac:dyDescent="0.2">
      <c r="C653" s="6"/>
    </row>
    <row r="654" spans="3:3" x14ac:dyDescent="0.2">
      <c r="C654" s="6"/>
    </row>
    <row r="655" spans="3:3" x14ac:dyDescent="0.2">
      <c r="C655" s="6"/>
    </row>
    <row r="656" spans="3:3" x14ac:dyDescent="0.2">
      <c r="C656" s="6"/>
    </row>
    <row r="657" spans="3:3" x14ac:dyDescent="0.2">
      <c r="C657" s="6"/>
    </row>
    <row r="658" spans="3:3" x14ac:dyDescent="0.2">
      <c r="C658" s="6"/>
    </row>
    <row r="659" spans="3:3" x14ac:dyDescent="0.2">
      <c r="C659" s="6"/>
    </row>
    <row r="660" spans="3:3" x14ac:dyDescent="0.2">
      <c r="C660" s="6"/>
    </row>
    <row r="661" spans="3:3" x14ac:dyDescent="0.2">
      <c r="C661" s="6"/>
    </row>
    <row r="662" spans="3:3" x14ac:dyDescent="0.2">
      <c r="C662" s="6"/>
    </row>
    <row r="663" spans="3:3" x14ac:dyDescent="0.2">
      <c r="C663" s="6"/>
    </row>
    <row r="664" spans="3:3" x14ac:dyDescent="0.2">
      <c r="C664" s="6"/>
    </row>
    <row r="665" spans="3:3" x14ac:dyDescent="0.2">
      <c r="C665" s="6"/>
    </row>
    <row r="666" spans="3:3" x14ac:dyDescent="0.2">
      <c r="C666" s="6"/>
    </row>
    <row r="667" spans="3:3" x14ac:dyDescent="0.2">
      <c r="C667" s="6"/>
    </row>
    <row r="668" spans="3:3" x14ac:dyDescent="0.2">
      <c r="C668" s="6"/>
    </row>
    <row r="669" spans="3:3" x14ac:dyDescent="0.2">
      <c r="C669" s="6"/>
    </row>
    <row r="670" spans="3:3" x14ac:dyDescent="0.2">
      <c r="C670" s="6"/>
    </row>
    <row r="671" spans="3:3" x14ac:dyDescent="0.2">
      <c r="C671" s="6"/>
    </row>
    <row r="672" spans="3:3" x14ac:dyDescent="0.2">
      <c r="C672" s="6"/>
    </row>
    <row r="673" spans="3:3" x14ac:dyDescent="0.2">
      <c r="C673" s="6"/>
    </row>
    <row r="674" spans="3:3" x14ac:dyDescent="0.2">
      <c r="C674" s="6"/>
    </row>
    <row r="675" spans="3:3" x14ac:dyDescent="0.2">
      <c r="C675" s="6"/>
    </row>
    <row r="676" spans="3:3" x14ac:dyDescent="0.2">
      <c r="C676" s="6"/>
    </row>
    <row r="677" spans="3:3" x14ac:dyDescent="0.2">
      <c r="C677" s="6"/>
    </row>
    <row r="678" spans="3:3" x14ac:dyDescent="0.2">
      <c r="C678" s="6"/>
    </row>
    <row r="679" spans="3:3" x14ac:dyDescent="0.2">
      <c r="C679" s="6"/>
    </row>
    <row r="680" spans="3:3" x14ac:dyDescent="0.2">
      <c r="C680" s="6"/>
    </row>
    <row r="681" spans="3:3" x14ac:dyDescent="0.2">
      <c r="C681" s="6"/>
    </row>
    <row r="682" spans="3:3" x14ac:dyDescent="0.2">
      <c r="C682" s="6"/>
    </row>
    <row r="683" spans="3:3" x14ac:dyDescent="0.2">
      <c r="C683" s="6"/>
    </row>
    <row r="684" spans="3:3" x14ac:dyDescent="0.2">
      <c r="C684" s="6"/>
    </row>
    <row r="685" spans="3:3" x14ac:dyDescent="0.2">
      <c r="C685" s="6"/>
    </row>
    <row r="686" spans="3:3" x14ac:dyDescent="0.2">
      <c r="C686" s="6"/>
    </row>
    <row r="687" spans="3:3" x14ac:dyDescent="0.2">
      <c r="C687" s="6"/>
    </row>
    <row r="688" spans="3:3" x14ac:dyDescent="0.2">
      <c r="C688" s="6"/>
    </row>
    <row r="689" spans="3:3" x14ac:dyDescent="0.2">
      <c r="C689" s="6"/>
    </row>
    <row r="690" spans="3:3" x14ac:dyDescent="0.2">
      <c r="C690" s="6"/>
    </row>
    <row r="691" spans="3:3" x14ac:dyDescent="0.2">
      <c r="C691" s="6"/>
    </row>
    <row r="692" spans="3:3" x14ac:dyDescent="0.2">
      <c r="C692" s="6"/>
    </row>
    <row r="693" spans="3:3" x14ac:dyDescent="0.2">
      <c r="C693" s="6"/>
    </row>
    <row r="694" spans="3:3" x14ac:dyDescent="0.2">
      <c r="C694" s="6"/>
    </row>
    <row r="695" spans="3:3" x14ac:dyDescent="0.2">
      <c r="C695" s="6"/>
    </row>
    <row r="696" spans="3:3" x14ac:dyDescent="0.2">
      <c r="C696" s="6"/>
    </row>
    <row r="697" spans="3:3" x14ac:dyDescent="0.2">
      <c r="C697" s="6"/>
    </row>
    <row r="698" spans="3:3" x14ac:dyDescent="0.2">
      <c r="C698" s="6"/>
    </row>
    <row r="699" spans="3:3" x14ac:dyDescent="0.2">
      <c r="C699" s="6"/>
    </row>
    <row r="700" spans="3:3" x14ac:dyDescent="0.2">
      <c r="C700" s="6"/>
    </row>
    <row r="701" spans="3:3" x14ac:dyDescent="0.2">
      <c r="C701" s="6"/>
    </row>
    <row r="702" spans="3:3" x14ac:dyDescent="0.2">
      <c r="C702" s="6"/>
    </row>
    <row r="703" spans="3:3" x14ac:dyDescent="0.2">
      <c r="C703" s="6"/>
    </row>
    <row r="704" spans="3:3" x14ac:dyDescent="0.2">
      <c r="C704" s="6"/>
    </row>
    <row r="705" spans="3:3" x14ac:dyDescent="0.2">
      <c r="C705" s="6"/>
    </row>
    <row r="706" spans="3:3" x14ac:dyDescent="0.2">
      <c r="C706" s="6"/>
    </row>
    <row r="707" spans="3:3" x14ac:dyDescent="0.2">
      <c r="C707" s="6"/>
    </row>
    <row r="708" spans="3:3" x14ac:dyDescent="0.2">
      <c r="C708" s="6"/>
    </row>
    <row r="709" spans="3:3" x14ac:dyDescent="0.2">
      <c r="C709" s="6"/>
    </row>
    <row r="710" spans="3:3" x14ac:dyDescent="0.2">
      <c r="C710" s="6"/>
    </row>
    <row r="711" spans="3:3" x14ac:dyDescent="0.2">
      <c r="C711" s="6"/>
    </row>
    <row r="712" spans="3:3" x14ac:dyDescent="0.2">
      <c r="C712" s="6"/>
    </row>
    <row r="713" spans="3:3" x14ac:dyDescent="0.2">
      <c r="C713" s="6"/>
    </row>
    <row r="714" spans="3:3" x14ac:dyDescent="0.2">
      <c r="C714" s="6"/>
    </row>
    <row r="715" spans="3:3" x14ac:dyDescent="0.2">
      <c r="C715" s="6"/>
    </row>
    <row r="716" spans="3:3" x14ac:dyDescent="0.2">
      <c r="C716" s="6"/>
    </row>
    <row r="717" spans="3:3" x14ac:dyDescent="0.2">
      <c r="C717" s="6"/>
    </row>
    <row r="718" spans="3:3" x14ac:dyDescent="0.2">
      <c r="C718" s="6"/>
    </row>
    <row r="719" spans="3:3" x14ac:dyDescent="0.2">
      <c r="C719" s="6"/>
    </row>
    <row r="720" spans="3:3" x14ac:dyDescent="0.2">
      <c r="C720" s="6"/>
    </row>
    <row r="721" spans="3:3" x14ac:dyDescent="0.2">
      <c r="C721" s="6"/>
    </row>
    <row r="722" spans="3:3" x14ac:dyDescent="0.2">
      <c r="C722" s="6"/>
    </row>
    <row r="723" spans="3:3" x14ac:dyDescent="0.2">
      <c r="C723" s="6"/>
    </row>
    <row r="724" spans="3:3" x14ac:dyDescent="0.2">
      <c r="C724" s="6"/>
    </row>
    <row r="725" spans="3:3" x14ac:dyDescent="0.2">
      <c r="C725" s="6"/>
    </row>
    <row r="726" spans="3:3" x14ac:dyDescent="0.2">
      <c r="C726" s="6"/>
    </row>
    <row r="727" spans="3:3" x14ac:dyDescent="0.2">
      <c r="C727" s="6"/>
    </row>
    <row r="728" spans="3:3" x14ac:dyDescent="0.2">
      <c r="C728" s="6"/>
    </row>
    <row r="729" spans="3:3" x14ac:dyDescent="0.2">
      <c r="C729" s="6"/>
    </row>
    <row r="730" spans="3:3" x14ac:dyDescent="0.2">
      <c r="C730" s="6"/>
    </row>
    <row r="731" spans="3:3" x14ac:dyDescent="0.2">
      <c r="C731" s="6"/>
    </row>
    <row r="732" spans="3:3" x14ac:dyDescent="0.2">
      <c r="C732" s="6"/>
    </row>
    <row r="733" spans="3:3" x14ac:dyDescent="0.2">
      <c r="C733" s="6"/>
    </row>
    <row r="734" spans="3:3" x14ac:dyDescent="0.2">
      <c r="C734" s="6"/>
    </row>
    <row r="735" spans="3:3" x14ac:dyDescent="0.2">
      <c r="C735" s="6"/>
    </row>
    <row r="736" spans="3:3" x14ac:dyDescent="0.2">
      <c r="C736" s="6"/>
    </row>
    <row r="737" spans="3:3" x14ac:dyDescent="0.2">
      <c r="C737" s="6"/>
    </row>
    <row r="738" spans="3:3" x14ac:dyDescent="0.2">
      <c r="C738" s="6"/>
    </row>
    <row r="739" spans="3:3" x14ac:dyDescent="0.2">
      <c r="C739" s="6"/>
    </row>
    <row r="740" spans="3:3" x14ac:dyDescent="0.2">
      <c r="C740" s="6"/>
    </row>
    <row r="741" spans="3:3" x14ac:dyDescent="0.2">
      <c r="C741" s="6"/>
    </row>
    <row r="742" spans="3:3" x14ac:dyDescent="0.2">
      <c r="C742" s="6"/>
    </row>
    <row r="743" spans="3:3" x14ac:dyDescent="0.2">
      <c r="C743" s="6"/>
    </row>
    <row r="744" spans="3:3" x14ac:dyDescent="0.2">
      <c r="C744" s="6"/>
    </row>
    <row r="745" spans="3:3" x14ac:dyDescent="0.2">
      <c r="C745" s="6"/>
    </row>
    <row r="746" spans="3:3" x14ac:dyDescent="0.2">
      <c r="C746" s="6"/>
    </row>
    <row r="747" spans="3:3" x14ac:dyDescent="0.2">
      <c r="C747" s="6"/>
    </row>
    <row r="748" spans="3:3" x14ac:dyDescent="0.2">
      <c r="C748" s="6"/>
    </row>
    <row r="749" spans="3:3" x14ac:dyDescent="0.2">
      <c r="C749" s="6"/>
    </row>
    <row r="750" spans="3:3" x14ac:dyDescent="0.2">
      <c r="C750" s="6"/>
    </row>
    <row r="751" spans="3:3" x14ac:dyDescent="0.2">
      <c r="C751" s="6"/>
    </row>
    <row r="752" spans="3:3" x14ac:dyDescent="0.2">
      <c r="C752" s="6"/>
    </row>
    <row r="753" spans="3:3" x14ac:dyDescent="0.2">
      <c r="C753" s="6"/>
    </row>
    <row r="754" spans="3:3" x14ac:dyDescent="0.2">
      <c r="C754" s="6"/>
    </row>
    <row r="755" spans="3:3" x14ac:dyDescent="0.2">
      <c r="C755" s="6"/>
    </row>
    <row r="756" spans="3:3" x14ac:dyDescent="0.2">
      <c r="C756" s="6"/>
    </row>
    <row r="757" spans="3:3" x14ac:dyDescent="0.2">
      <c r="C757" s="6"/>
    </row>
    <row r="758" spans="3:3" x14ac:dyDescent="0.2">
      <c r="C758" s="6"/>
    </row>
    <row r="759" spans="3:3" x14ac:dyDescent="0.2">
      <c r="C759" s="6"/>
    </row>
    <row r="760" spans="3:3" x14ac:dyDescent="0.2">
      <c r="C760" s="6"/>
    </row>
    <row r="761" spans="3:3" x14ac:dyDescent="0.2">
      <c r="C761" s="6"/>
    </row>
    <row r="762" spans="3:3" x14ac:dyDescent="0.2">
      <c r="C762" s="6"/>
    </row>
    <row r="763" spans="3:3" x14ac:dyDescent="0.2">
      <c r="C763" s="6"/>
    </row>
    <row r="764" spans="3:3" x14ac:dyDescent="0.2">
      <c r="C764" s="6"/>
    </row>
    <row r="765" spans="3:3" x14ac:dyDescent="0.2">
      <c r="C765" s="6"/>
    </row>
    <row r="766" spans="3:3" x14ac:dyDescent="0.2">
      <c r="C766" s="6"/>
    </row>
    <row r="767" spans="3:3" x14ac:dyDescent="0.2">
      <c r="C767" s="6"/>
    </row>
    <row r="768" spans="3:3" x14ac:dyDescent="0.2">
      <c r="C768" s="6"/>
    </row>
    <row r="769" spans="3:3" x14ac:dyDescent="0.2">
      <c r="C769" s="6"/>
    </row>
    <row r="770" spans="3:3" x14ac:dyDescent="0.2">
      <c r="C770" s="6"/>
    </row>
    <row r="771" spans="3:3" x14ac:dyDescent="0.2">
      <c r="C771" s="6"/>
    </row>
    <row r="772" spans="3:3" x14ac:dyDescent="0.2">
      <c r="C772" s="6"/>
    </row>
    <row r="773" spans="3:3" x14ac:dyDescent="0.2">
      <c r="C773" s="6"/>
    </row>
    <row r="774" spans="3:3" x14ac:dyDescent="0.2">
      <c r="C774" s="6"/>
    </row>
    <row r="775" spans="3:3" x14ac:dyDescent="0.2">
      <c r="C775" s="6"/>
    </row>
    <row r="776" spans="3:3" x14ac:dyDescent="0.2">
      <c r="C776" s="6"/>
    </row>
    <row r="777" spans="3:3" x14ac:dyDescent="0.2">
      <c r="C777" s="6"/>
    </row>
    <row r="778" spans="3:3" x14ac:dyDescent="0.2">
      <c r="C778" s="6"/>
    </row>
    <row r="779" spans="3:3" x14ac:dyDescent="0.2">
      <c r="C779" s="6"/>
    </row>
    <row r="780" spans="3:3" x14ac:dyDescent="0.2">
      <c r="C780" s="6"/>
    </row>
    <row r="781" spans="3:3" x14ac:dyDescent="0.2">
      <c r="C781" s="6"/>
    </row>
    <row r="782" spans="3:3" x14ac:dyDescent="0.2">
      <c r="C782" s="6"/>
    </row>
    <row r="783" spans="3:3" x14ac:dyDescent="0.2">
      <c r="C783" s="6"/>
    </row>
    <row r="784" spans="3:3" x14ac:dyDescent="0.2">
      <c r="C784" s="6"/>
    </row>
    <row r="785" spans="3:3" x14ac:dyDescent="0.2">
      <c r="C785" s="6"/>
    </row>
    <row r="786" spans="3:3" x14ac:dyDescent="0.2">
      <c r="C786" s="6"/>
    </row>
    <row r="787" spans="3:3" x14ac:dyDescent="0.2">
      <c r="C787" s="6"/>
    </row>
    <row r="788" spans="3:3" x14ac:dyDescent="0.2">
      <c r="C788" s="6"/>
    </row>
    <row r="789" spans="3:3" x14ac:dyDescent="0.2">
      <c r="C789" s="6"/>
    </row>
    <row r="790" spans="3:3" x14ac:dyDescent="0.2">
      <c r="C790" s="6"/>
    </row>
    <row r="791" spans="3:3" x14ac:dyDescent="0.2">
      <c r="C791" s="6"/>
    </row>
    <row r="792" spans="3:3" x14ac:dyDescent="0.2">
      <c r="C792" s="6"/>
    </row>
    <row r="793" spans="3:3" x14ac:dyDescent="0.2">
      <c r="C793" s="6"/>
    </row>
    <row r="794" spans="3:3" x14ac:dyDescent="0.2">
      <c r="C794" s="6"/>
    </row>
    <row r="795" spans="3:3" x14ac:dyDescent="0.2">
      <c r="C795" s="6"/>
    </row>
    <row r="796" spans="3:3" x14ac:dyDescent="0.2">
      <c r="C796" s="6"/>
    </row>
    <row r="797" spans="3:3" x14ac:dyDescent="0.2">
      <c r="C797" s="6"/>
    </row>
    <row r="798" spans="3:3" x14ac:dyDescent="0.2">
      <c r="C798" s="6"/>
    </row>
    <row r="799" spans="3:3" x14ac:dyDescent="0.2">
      <c r="C799" s="6"/>
    </row>
    <row r="800" spans="3:3" x14ac:dyDescent="0.2">
      <c r="C800" s="6"/>
    </row>
    <row r="801" spans="3:3" x14ac:dyDescent="0.2">
      <c r="C801" s="6"/>
    </row>
    <row r="802" spans="3:3" x14ac:dyDescent="0.2">
      <c r="C802" s="6"/>
    </row>
    <row r="803" spans="3:3" x14ac:dyDescent="0.2">
      <c r="C803" s="6"/>
    </row>
    <row r="804" spans="3:3" x14ac:dyDescent="0.2">
      <c r="C804" s="6"/>
    </row>
    <row r="805" spans="3:3" x14ac:dyDescent="0.2">
      <c r="C805" s="6"/>
    </row>
    <row r="806" spans="3:3" x14ac:dyDescent="0.2">
      <c r="C806" s="6"/>
    </row>
    <row r="807" spans="3:3" x14ac:dyDescent="0.2">
      <c r="C807" s="6"/>
    </row>
    <row r="808" spans="3:3" x14ac:dyDescent="0.2">
      <c r="C808" s="6"/>
    </row>
    <row r="809" spans="3:3" x14ac:dyDescent="0.2">
      <c r="C809" s="6"/>
    </row>
    <row r="810" spans="3:3" x14ac:dyDescent="0.2">
      <c r="C810" s="6"/>
    </row>
    <row r="811" spans="3:3" x14ac:dyDescent="0.2">
      <c r="C811" s="6"/>
    </row>
    <row r="812" spans="3:3" x14ac:dyDescent="0.2">
      <c r="C812" s="6"/>
    </row>
    <row r="813" spans="3:3" x14ac:dyDescent="0.2">
      <c r="C813" s="6"/>
    </row>
    <row r="814" spans="3:3" x14ac:dyDescent="0.2">
      <c r="C814" s="6"/>
    </row>
    <row r="815" spans="3:3" x14ac:dyDescent="0.2">
      <c r="C815" s="6"/>
    </row>
    <row r="816" spans="3:3" x14ac:dyDescent="0.2">
      <c r="C816" s="6"/>
    </row>
    <row r="817" spans="3:3" x14ac:dyDescent="0.2">
      <c r="C817" s="6"/>
    </row>
    <row r="818" spans="3:3" x14ac:dyDescent="0.2">
      <c r="C818" s="6"/>
    </row>
    <row r="819" spans="3:3" x14ac:dyDescent="0.2">
      <c r="C819" s="6"/>
    </row>
    <row r="820" spans="3:3" x14ac:dyDescent="0.2">
      <c r="C820" s="6"/>
    </row>
    <row r="821" spans="3:3" x14ac:dyDescent="0.2">
      <c r="C821" s="6"/>
    </row>
    <row r="822" spans="3:3" x14ac:dyDescent="0.2">
      <c r="C822" s="6"/>
    </row>
    <row r="823" spans="3:3" x14ac:dyDescent="0.2">
      <c r="C823" s="6"/>
    </row>
    <row r="824" spans="3:3" x14ac:dyDescent="0.2">
      <c r="C824" s="6"/>
    </row>
    <row r="825" spans="3:3" x14ac:dyDescent="0.2">
      <c r="C825" s="6"/>
    </row>
    <row r="826" spans="3:3" x14ac:dyDescent="0.2">
      <c r="C826" s="6"/>
    </row>
    <row r="827" spans="3:3" x14ac:dyDescent="0.2">
      <c r="C827" s="6"/>
    </row>
    <row r="828" spans="3:3" x14ac:dyDescent="0.2">
      <c r="C828" s="6"/>
    </row>
    <row r="829" spans="3:3" x14ac:dyDescent="0.2">
      <c r="C829" s="6"/>
    </row>
    <row r="830" spans="3:3" x14ac:dyDescent="0.2">
      <c r="C830" s="6"/>
    </row>
    <row r="831" spans="3:3" x14ac:dyDescent="0.2">
      <c r="C831" s="6"/>
    </row>
    <row r="832" spans="3:3" x14ac:dyDescent="0.2">
      <c r="C832" s="6"/>
    </row>
    <row r="833" spans="3:3" x14ac:dyDescent="0.2">
      <c r="C833" s="6"/>
    </row>
    <row r="834" spans="3:3" x14ac:dyDescent="0.2">
      <c r="C834" s="6"/>
    </row>
    <row r="835" spans="3:3" x14ac:dyDescent="0.2">
      <c r="C835" s="6"/>
    </row>
    <row r="836" spans="3:3" x14ac:dyDescent="0.2">
      <c r="C836" s="6"/>
    </row>
    <row r="837" spans="3:3" x14ac:dyDescent="0.2">
      <c r="C837" s="6"/>
    </row>
    <row r="838" spans="3:3" x14ac:dyDescent="0.2">
      <c r="C838" s="6"/>
    </row>
    <row r="839" spans="3:3" x14ac:dyDescent="0.2">
      <c r="C839" s="6"/>
    </row>
    <row r="840" spans="3:3" x14ac:dyDescent="0.2">
      <c r="C840" s="6"/>
    </row>
    <row r="841" spans="3:3" x14ac:dyDescent="0.2">
      <c r="C841" s="6"/>
    </row>
    <row r="842" spans="3:3" x14ac:dyDescent="0.2">
      <c r="C842" s="6"/>
    </row>
    <row r="843" spans="3:3" x14ac:dyDescent="0.2">
      <c r="C843" s="6"/>
    </row>
    <row r="844" spans="3:3" x14ac:dyDescent="0.2">
      <c r="C844" s="6"/>
    </row>
    <row r="845" spans="3:3" x14ac:dyDescent="0.2">
      <c r="C845" s="6"/>
    </row>
    <row r="846" spans="3:3" x14ac:dyDescent="0.2">
      <c r="C846" s="6"/>
    </row>
    <row r="847" spans="3:3" x14ac:dyDescent="0.2">
      <c r="C847" s="6"/>
    </row>
    <row r="848" spans="3:3" x14ac:dyDescent="0.2">
      <c r="C848" s="6"/>
    </row>
    <row r="849" spans="3:3" x14ac:dyDescent="0.2">
      <c r="C849" s="6"/>
    </row>
    <row r="850" spans="3:3" x14ac:dyDescent="0.2">
      <c r="C850" s="6"/>
    </row>
    <row r="851" spans="3:3" x14ac:dyDescent="0.2">
      <c r="C851" s="6"/>
    </row>
    <row r="852" spans="3:3" x14ac:dyDescent="0.2">
      <c r="C852" s="6"/>
    </row>
    <row r="853" spans="3:3" x14ac:dyDescent="0.2">
      <c r="C853" s="6"/>
    </row>
    <row r="854" spans="3:3" x14ac:dyDescent="0.2">
      <c r="C854" s="6"/>
    </row>
    <row r="855" spans="3:3" x14ac:dyDescent="0.2">
      <c r="C855" s="6"/>
    </row>
    <row r="856" spans="3:3" x14ac:dyDescent="0.2">
      <c r="C856" s="6"/>
    </row>
    <row r="857" spans="3:3" x14ac:dyDescent="0.2">
      <c r="C857" s="6"/>
    </row>
    <row r="858" spans="3:3" x14ac:dyDescent="0.2">
      <c r="C858" s="6"/>
    </row>
    <row r="859" spans="3:3" x14ac:dyDescent="0.2">
      <c r="C859" s="6"/>
    </row>
    <row r="860" spans="3:3" x14ac:dyDescent="0.2">
      <c r="C860" s="6"/>
    </row>
    <row r="861" spans="3:3" x14ac:dyDescent="0.2">
      <c r="C861" s="6"/>
    </row>
    <row r="862" spans="3:3" x14ac:dyDescent="0.2">
      <c r="C862" s="6"/>
    </row>
    <row r="863" spans="3:3" x14ac:dyDescent="0.2">
      <c r="C863" s="6"/>
    </row>
    <row r="864" spans="3:3" x14ac:dyDescent="0.2">
      <c r="C864" s="6"/>
    </row>
    <row r="865" spans="3:3" x14ac:dyDescent="0.2">
      <c r="C865" s="6"/>
    </row>
    <row r="866" spans="3:3" x14ac:dyDescent="0.2">
      <c r="C866" s="6"/>
    </row>
    <row r="867" spans="3:3" x14ac:dyDescent="0.2">
      <c r="C867" s="6"/>
    </row>
    <row r="868" spans="3:3" x14ac:dyDescent="0.2">
      <c r="C868" s="6"/>
    </row>
    <row r="869" spans="3:3" x14ac:dyDescent="0.2">
      <c r="C869" s="6"/>
    </row>
    <row r="870" spans="3:3" x14ac:dyDescent="0.2">
      <c r="C870" s="6"/>
    </row>
    <row r="871" spans="3:3" x14ac:dyDescent="0.2">
      <c r="C871" s="6"/>
    </row>
    <row r="872" spans="3:3" x14ac:dyDescent="0.2">
      <c r="C872" s="6"/>
    </row>
    <row r="873" spans="3:3" x14ac:dyDescent="0.2">
      <c r="C873" s="6"/>
    </row>
    <row r="874" spans="3:3" x14ac:dyDescent="0.2">
      <c r="C874" s="6"/>
    </row>
    <row r="875" spans="3:3" x14ac:dyDescent="0.2">
      <c r="C875" s="6"/>
    </row>
    <row r="876" spans="3:3" x14ac:dyDescent="0.2">
      <c r="C876" s="6"/>
    </row>
    <row r="877" spans="3:3" x14ac:dyDescent="0.2">
      <c r="C877" s="6"/>
    </row>
    <row r="878" spans="3:3" x14ac:dyDescent="0.2">
      <c r="C878" s="6"/>
    </row>
    <row r="879" spans="3:3" x14ac:dyDescent="0.2">
      <c r="C879" s="6"/>
    </row>
    <row r="880" spans="3:3" x14ac:dyDescent="0.2">
      <c r="C880" s="6"/>
    </row>
    <row r="881" spans="3:3" x14ac:dyDescent="0.2">
      <c r="C881" s="6"/>
    </row>
    <row r="882" spans="3:3" x14ac:dyDescent="0.2">
      <c r="C882" s="6"/>
    </row>
    <row r="883" spans="3:3" x14ac:dyDescent="0.2">
      <c r="C883" s="6"/>
    </row>
    <row r="884" spans="3:3" x14ac:dyDescent="0.2">
      <c r="C884" s="6"/>
    </row>
    <row r="885" spans="3:3" x14ac:dyDescent="0.2">
      <c r="C885" s="6"/>
    </row>
    <row r="886" spans="3:3" x14ac:dyDescent="0.2">
      <c r="C886" s="6"/>
    </row>
    <row r="887" spans="3:3" x14ac:dyDescent="0.2">
      <c r="C887" s="6"/>
    </row>
    <row r="888" spans="3:3" x14ac:dyDescent="0.2">
      <c r="C888" s="6"/>
    </row>
    <row r="889" spans="3:3" x14ac:dyDescent="0.2">
      <c r="C889" s="6"/>
    </row>
    <row r="890" spans="3:3" x14ac:dyDescent="0.2">
      <c r="C890" s="6"/>
    </row>
    <row r="891" spans="3:3" x14ac:dyDescent="0.2">
      <c r="C891" s="6"/>
    </row>
    <row r="892" spans="3:3" x14ac:dyDescent="0.2">
      <c r="C892" s="6"/>
    </row>
    <row r="893" spans="3:3" x14ac:dyDescent="0.2">
      <c r="C893" s="6"/>
    </row>
    <row r="894" spans="3:3" x14ac:dyDescent="0.2">
      <c r="C894" s="6"/>
    </row>
    <row r="895" spans="3:3" x14ac:dyDescent="0.2">
      <c r="C895" s="6"/>
    </row>
    <row r="896" spans="3:3" x14ac:dyDescent="0.2">
      <c r="C896" s="6"/>
    </row>
    <row r="897" spans="3:3" x14ac:dyDescent="0.2">
      <c r="C897" s="6"/>
    </row>
    <row r="898" spans="3:3" x14ac:dyDescent="0.2">
      <c r="C898" s="6"/>
    </row>
    <row r="899" spans="3:3" x14ac:dyDescent="0.2">
      <c r="C899" s="6"/>
    </row>
    <row r="900" spans="3:3" x14ac:dyDescent="0.2">
      <c r="C900" s="6"/>
    </row>
    <row r="901" spans="3:3" x14ac:dyDescent="0.2">
      <c r="C901" s="6"/>
    </row>
    <row r="902" spans="3:3" x14ac:dyDescent="0.2">
      <c r="C902" s="6"/>
    </row>
    <row r="903" spans="3:3" x14ac:dyDescent="0.2">
      <c r="C903" s="6"/>
    </row>
    <row r="904" spans="3:3" x14ac:dyDescent="0.2">
      <c r="C904" s="6"/>
    </row>
    <row r="905" spans="3:3" x14ac:dyDescent="0.2">
      <c r="C905" s="6"/>
    </row>
    <row r="906" spans="3:3" x14ac:dyDescent="0.2">
      <c r="C906" s="6"/>
    </row>
    <row r="907" spans="3:3" x14ac:dyDescent="0.2">
      <c r="C907" s="6"/>
    </row>
    <row r="908" spans="3:3" x14ac:dyDescent="0.2">
      <c r="C908" s="6"/>
    </row>
    <row r="909" spans="3:3" x14ac:dyDescent="0.2">
      <c r="C909" s="6"/>
    </row>
    <row r="910" spans="3:3" x14ac:dyDescent="0.2">
      <c r="C910" s="6"/>
    </row>
    <row r="911" spans="3:3" x14ac:dyDescent="0.2">
      <c r="C911" s="6"/>
    </row>
    <row r="912" spans="3:3" x14ac:dyDescent="0.2">
      <c r="C912" s="6"/>
    </row>
    <row r="913" spans="3:3" x14ac:dyDescent="0.2">
      <c r="C913" s="6"/>
    </row>
    <row r="914" spans="3:3" x14ac:dyDescent="0.2">
      <c r="C914" s="6"/>
    </row>
    <row r="915" spans="3:3" x14ac:dyDescent="0.2">
      <c r="C915" s="6"/>
    </row>
    <row r="916" spans="3:3" x14ac:dyDescent="0.2">
      <c r="C916" s="6"/>
    </row>
    <row r="917" spans="3:3" x14ac:dyDescent="0.2">
      <c r="C917" s="6"/>
    </row>
    <row r="918" spans="3:3" x14ac:dyDescent="0.2">
      <c r="C918" s="6"/>
    </row>
    <row r="919" spans="3:3" x14ac:dyDescent="0.2">
      <c r="C919" s="6"/>
    </row>
    <row r="920" spans="3:3" x14ac:dyDescent="0.2">
      <c r="C920" s="6"/>
    </row>
    <row r="921" spans="3:3" x14ac:dyDescent="0.2">
      <c r="C921" s="6"/>
    </row>
    <row r="922" spans="3:3" x14ac:dyDescent="0.2">
      <c r="C922" s="6"/>
    </row>
    <row r="923" spans="3:3" x14ac:dyDescent="0.2">
      <c r="C923" s="6"/>
    </row>
    <row r="924" spans="3:3" x14ac:dyDescent="0.2">
      <c r="C924" s="6"/>
    </row>
    <row r="925" spans="3:3" x14ac:dyDescent="0.2">
      <c r="C925" s="6"/>
    </row>
    <row r="926" spans="3:3" x14ac:dyDescent="0.2">
      <c r="C926" s="6"/>
    </row>
    <row r="927" spans="3:3" x14ac:dyDescent="0.2">
      <c r="C927" s="6"/>
    </row>
    <row r="928" spans="3:3" x14ac:dyDescent="0.2">
      <c r="C928" s="6"/>
    </row>
    <row r="929" spans="3:3" x14ac:dyDescent="0.2">
      <c r="C929" s="6"/>
    </row>
    <row r="930" spans="3:3" x14ac:dyDescent="0.2">
      <c r="C930" s="6"/>
    </row>
    <row r="931" spans="3:3" x14ac:dyDescent="0.2">
      <c r="C931" s="6"/>
    </row>
    <row r="932" spans="3:3" x14ac:dyDescent="0.2">
      <c r="C932" s="6"/>
    </row>
    <row r="933" spans="3:3" x14ac:dyDescent="0.2">
      <c r="C933" s="6"/>
    </row>
    <row r="934" spans="3:3" x14ac:dyDescent="0.2">
      <c r="C934" s="6"/>
    </row>
    <row r="935" spans="3:3" x14ac:dyDescent="0.2">
      <c r="C935" s="6"/>
    </row>
    <row r="936" spans="3:3" x14ac:dyDescent="0.2">
      <c r="C936" s="6"/>
    </row>
    <row r="937" spans="3:3" x14ac:dyDescent="0.2">
      <c r="C937" s="6"/>
    </row>
    <row r="938" spans="3:3" x14ac:dyDescent="0.2">
      <c r="C938" s="6"/>
    </row>
    <row r="939" spans="3:3" x14ac:dyDescent="0.2">
      <c r="C939" s="6"/>
    </row>
    <row r="940" spans="3:3" x14ac:dyDescent="0.2">
      <c r="C940" s="6"/>
    </row>
    <row r="941" spans="3:3" x14ac:dyDescent="0.2">
      <c r="C941" s="6"/>
    </row>
    <row r="942" spans="3:3" x14ac:dyDescent="0.2">
      <c r="C942" s="6"/>
    </row>
    <row r="943" spans="3:3" x14ac:dyDescent="0.2">
      <c r="C943" s="6"/>
    </row>
    <row r="944" spans="3:3" x14ac:dyDescent="0.2">
      <c r="C944" s="6"/>
    </row>
    <row r="945" spans="3:3" x14ac:dyDescent="0.2">
      <c r="C945" s="6"/>
    </row>
    <row r="946" spans="3:3" x14ac:dyDescent="0.2">
      <c r="C946" s="6"/>
    </row>
    <row r="947" spans="3:3" x14ac:dyDescent="0.2">
      <c r="C947" s="6"/>
    </row>
    <row r="948" spans="3:3" x14ac:dyDescent="0.2">
      <c r="C948" s="6"/>
    </row>
    <row r="949" spans="3:3" x14ac:dyDescent="0.2">
      <c r="C949" s="6"/>
    </row>
    <row r="950" spans="3:3" x14ac:dyDescent="0.2">
      <c r="C950" s="6"/>
    </row>
    <row r="951" spans="3:3" x14ac:dyDescent="0.2">
      <c r="C951" s="6"/>
    </row>
    <row r="952" spans="3:3" x14ac:dyDescent="0.2">
      <c r="C952" s="6"/>
    </row>
    <row r="953" spans="3:3" x14ac:dyDescent="0.2">
      <c r="C953" s="6"/>
    </row>
    <row r="954" spans="3:3" x14ac:dyDescent="0.2">
      <c r="C954" s="6"/>
    </row>
    <row r="955" spans="3:3" x14ac:dyDescent="0.2">
      <c r="C955" s="6"/>
    </row>
    <row r="956" spans="3:3" x14ac:dyDescent="0.2">
      <c r="C956" s="6"/>
    </row>
    <row r="957" spans="3:3" x14ac:dyDescent="0.2">
      <c r="C957" s="6"/>
    </row>
    <row r="958" spans="3:3" x14ac:dyDescent="0.2">
      <c r="C958" s="6"/>
    </row>
    <row r="959" spans="3:3" x14ac:dyDescent="0.2">
      <c r="C959" s="6"/>
    </row>
    <row r="960" spans="3:3" x14ac:dyDescent="0.2">
      <c r="C960" s="6"/>
    </row>
    <row r="961" spans="3:3" x14ac:dyDescent="0.2">
      <c r="C961" s="6"/>
    </row>
    <row r="962" spans="3:3" x14ac:dyDescent="0.2">
      <c r="C962" s="6"/>
    </row>
    <row r="963" spans="3:3" x14ac:dyDescent="0.2">
      <c r="C963" s="6"/>
    </row>
    <row r="964" spans="3:3" x14ac:dyDescent="0.2">
      <c r="C964" s="6"/>
    </row>
    <row r="965" spans="3:3" x14ac:dyDescent="0.2">
      <c r="C965" s="6"/>
    </row>
    <row r="966" spans="3:3" x14ac:dyDescent="0.2">
      <c r="C966" s="6"/>
    </row>
    <row r="967" spans="3:3" x14ac:dyDescent="0.2">
      <c r="C967" s="6"/>
    </row>
    <row r="968" spans="3:3" x14ac:dyDescent="0.2">
      <c r="C968" s="6"/>
    </row>
    <row r="969" spans="3:3" x14ac:dyDescent="0.2">
      <c r="C969" s="6"/>
    </row>
    <row r="970" spans="3:3" x14ac:dyDescent="0.2">
      <c r="C970" s="6"/>
    </row>
    <row r="971" spans="3:3" x14ac:dyDescent="0.2">
      <c r="C971" s="6"/>
    </row>
    <row r="972" spans="3:3" x14ac:dyDescent="0.2">
      <c r="C972" s="6"/>
    </row>
    <row r="973" spans="3:3" x14ac:dyDescent="0.2">
      <c r="C973" s="6"/>
    </row>
    <row r="974" spans="3:3" x14ac:dyDescent="0.2">
      <c r="C974" s="6"/>
    </row>
    <row r="975" spans="3:3" x14ac:dyDescent="0.2">
      <c r="C975" s="6"/>
    </row>
    <row r="976" spans="3:3" x14ac:dyDescent="0.2">
      <c r="C976" s="6"/>
    </row>
    <row r="977" spans="3:3" x14ac:dyDescent="0.2">
      <c r="C977" s="6"/>
    </row>
    <row r="978" spans="3:3" x14ac:dyDescent="0.2">
      <c r="C978" s="6"/>
    </row>
    <row r="979" spans="3:3" x14ac:dyDescent="0.2">
      <c r="C979" s="6"/>
    </row>
    <row r="980" spans="3:3" x14ac:dyDescent="0.2">
      <c r="C980" s="6"/>
    </row>
    <row r="981" spans="3:3" x14ac:dyDescent="0.2">
      <c r="C981" s="6"/>
    </row>
    <row r="982" spans="3:3" x14ac:dyDescent="0.2">
      <c r="C982" s="6"/>
    </row>
    <row r="983" spans="3:3" x14ac:dyDescent="0.2">
      <c r="C983" s="6"/>
    </row>
    <row r="984" spans="3:3" x14ac:dyDescent="0.2">
      <c r="C984" s="6"/>
    </row>
    <row r="985" spans="3:3" x14ac:dyDescent="0.2">
      <c r="C985" s="6"/>
    </row>
    <row r="986" spans="3:3" x14ac:dyDescent="0.2">
      <c r="C986" s="6"/>
    </row>
    <row r="987" spans="3:3" x14ac:dyDescent="0.2">
      <c r="C987" s="6"/>
    </row>
    <row r="988" spans="3:3" x14ac:dyDescent="0.2">
      <c r="C988" s="6"/>
    </row>
    <row r="989" spans="3:3" x14ac:dyDescent="0.2">
      <c r="C989" s="6"/>
    </row>
    <row r="990" spans="3:3" x14ac:dyDescent="0.2">
      <c r="C990" s="6"/>
    </row>
    <row r="991" spans="3:3" x14ac:dyDescent="0.2">
      <c r="C991" s="6"/>
    </row>
    <row r="992" spans="3:3" x14ac:dyDescent="0.2">
      <c r="C992" s="6"/>
    </row>
    <row r="993" spans="3:3" x14ac:dyDescent="0.2">
      <c r="C993" s="6"/>
    </row>
    <row r="994" spans="3:3" x14ac:dyDescent="0.2">
      <c r="C994" s="6"/>
    </row>
    <row r="995" spans="3:3" x14ac:dyDescent="0.2">
      <c r="C995" s="6"/>
    </row>
    <row r="996" spans="3:3" x14ac:dyDescent="0.2">
      <c r="C996" s="6"/>
    </row>
    <row r="997" spans="3:3" x14ac:dyDescent="0.2">
      <c r="C997" s="6"/>
    </row>
    <row r="998" spans="3:3" x14ac:dyDescent="0.2">
      <c r="C998" s="6"/>
    </row>
    <row r="999" spans="3:3" x14ac:dyDescent="0.2">
      <c r="C999" s="6"/>
    </row>
    <row r="1000" spans="3:3" x14ac:dyDescent="0.2">
      <c r="C1000" s="6"/>
    </row>
    <row r="1001" spans="3:3" x14ac:dyDescent="0.2">
      <c r="C1001" s="6"/>
    </row>
    <row r="1002" spans="3:3" x14ac:dyDescent="0.2">
      <c r="C1002" s="6"/>
    </row>
    <row r="1003" spans="3:3" x14ac:dyDescent="0.2">
      <c r="C1003" s="6"/>
    </row>
    <row r="1004" spans="3:3" x14ac:dyDescent="0.2">
      <c r="C1004" s="6"/>
    </row>
    <row r="1005" spans="3:3" x14ac:dyDescent="0.2">
      <c r="C1005" s="6"/>
    </row>
    <row r="1006" spans="3:3" x14ac:dyDescent="0.2">
      <c r="C1006" s="6"/>
    </row>
    <row r="1007" spans="3:3" x14ac:dyDescent="0.2">
      <c r="C1007" s="6"/>
    </row>
    <row r="1008" spans="3:3" x14ac:dyDescent="0.2">
      <c r="C1008" s="6"/>
    </row>
    <row r="1009" spans="3:3" x14ac:dyDescent="0.2">
      <c r="C1009" s="6"/>
    </row>
    <row r="1010" spans="3:3" x14ac:dyDescent="0.2">
      <c r="C1010" s="6"/>
    </row>
    <row r="1011" spans="3:3" x14ac:dyDescent="0.2">
      <c r="C1011" s="6"/>
    </row>
    <row r="1012" spans="3:3" x14ac:dyDescent="0.2">
      <c r="C1012" s="6"/>
    </row>
    <row r="1013" spans="3:3" x14ac:dyDescent="0.2">
      <c r="C1013" s="6"/>
    </row>
    <row r="1014" spans="3:3" x14ac:dyDescent="0.2">
      <c r="C1014" s="6"/>
    </row>
    <row r="1015" spans="3:3" x14ac:dyDescent="0.2">
      <c r="C1015" s="6"/>
    </row>
    <row r="1016" spans="3:3" x14ac:dyDescent="0.2">
      <c r="C1016" s="6"/>
    </row>
    <row r="1017" spans="3:3" x14ac:dyDescent="0.2">
      <c r="C1017" s="6"/>
    </row>
    <row r="1018" spans="3:3" x14ac:dyDescent="0.2">
      <c r="C1018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FDE3-3A97-9344-AD95-AF5C80EEAF27}">
  <dimension ref="B2:K12"/>
  <sheetViews>
    <sheetView tabSelected="1" workbookViewId="0">
      <selection activeCell="C3" sqref="C3"/>
    </sheetView>
  </sheetViews>
  <sheetFormatPr baseColWidth="10" defaultRowHeight="16" x14ac:dyDescent="0.2"/>
  <sheetData>
    <row r="2" spans="2:11" x14ac:dyDescent="0.2">
      <c r="B2" s="2" t="s">
        <v>51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</row>
    <row r="3" spans="2:11" x14ac:dyDescent="0.2">
      <c r="B3" s="2">
        <v>1</v>
      </c>
    </row>
    <row r="4" spans="2:11" x14ac:dyDescent="0.2">
      <c r="B4" s="2">
        <v>2</v>
      </c>
    </row>
    <row r="5" spans="2:11" x14ac:dyDescent="0.2">
      <c r="B5" s="2">
        <v>3</v>
      </c>
    </row>
    <row r="6" spans="2:11" x14ac:dyDescent="0.2">
      <c r="B6" s="2">
        <v>4</v>
      </c>
    </row>
    <row r="7" spans="2:11" x14ac:dyDescent="0.2">
      <c r="B7" s="2">
        <v>5</v>
      </c>
    </row>
    <row r="8" spans="2:11" x14ac:dyDescent="0.2">
      <c r="B8" s="2">
        <v>6</v>
      </c>
    </row>
    <row r="9" spans="2:11" x14ac:dyDescent="0.2">
      <c r="B9" s="2">
        <v>7</v>
      </c>
    </row>
    <row r="10" spans="2:11" x14ac:dyDescent="0.2">
      <c r="B10" s="2">
        <v>8</v>
      </c>
    </row>
    <row r="11" spans="2:11" x14ac:dyDescent="0.2">
      <c r="B11" s="2">
        <v>9</v>
      </c>
    </row>
    <row r="12" spans="2:11" x14ac:dyDescent="0.2">
      <c r="B12" s="2">
        <v>10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T0T1`</vt:lpstr>
      <vt:lpstr>T3 Left box</vt:lpstr>
      <vt:lpstr>T3 Right box</vt:lpstr>
      <vt:lpstr>T7 Test</vt:lpstr>
      <vt:lpstr>T4</vt:lpstr>
      <vt:lpstr>Cell 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 Shilpakar</dc:creator>
  <cp:lastModifiedBy>Yashaswi Shilpakar</cp:lastModifiedBy>
  <dcterms:created xsi:type="dcterms:W3CDTF">2026-10-05T09:32:34Z</dcterms:created>
  <dcterms:modified xsi:type="dcterms:W3CDTF">2026-10-20T12:47:06Z</dcterms:modified>
</cp:coreProperties>
</file>